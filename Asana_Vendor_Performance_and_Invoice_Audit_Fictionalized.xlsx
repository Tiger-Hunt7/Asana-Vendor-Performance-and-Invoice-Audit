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534b5f553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df024570724ebf"/>
    <x:sheet xmlns:r="http://schemas.openxmlformats.org/officeDocument/2006/relationships" name="Yearly Summary" sheetId="2" r:id="R20754f8cd2d043f7"/>
    <x:sheet xmlns:r="http://schemas.openxmlformats.org/officeDocument/2006/relationships" name="Monthly Summary" sheetId="3" r:id="Raef0efa6e05e4a91"/>
    <x:sheet xmlns:r="http://schemas.openxmlformats.org/officeDocument/2006/relationships" name="Financial Summary" sheetId="4" r:id="R33c6c32b0de0475e"/>
    <x:sheet xmlns:r="http://schemas.openxmlformats.org/officeDocument/2006/relationships" name="Financial Ledger" sheetId="5" r:id="R6fdee02ee1a24a73"/>
    <x:sheet xmlns:r="http://schemas.openxmlformats.org/officeDocument/2006/relationships" name="Data Quality" sheetId="6" r:id="R6218b0d90fda4f72"/>
    <x:sheet xmlns:r="http://schemas.openxmlformats.org/officeDocument/2006/relationships" name="Asana Tasks" sheetId="7" r:id="Re8156f296a04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/d/yyyy"/>
    <x:numFmt numFmtId="201" formatCode="m/d/yyyy h:mm"/>
    <x:numFmt numFmtId="202" formatCode="&quot;$&quot;#,##0"/>
    <x:numFmt numFmtId="203" formatCode="0.0%"/>
  </x:numFmts>
  <x:fonts count="7">
    <x:font>
      <x:sz val="11"/>
      <x:name val="Carlito"/>
    </x:font>
    <x:font>
      <x:b/>
      <x:sz val="15"/>
      <x:color rgb="FF17365D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3" fontId="0" fillId="0" borderId="0" xfId="0" applyNumberFormat="1" applyFont="1" applyFill="1" applyBorder="1"/>
    <x:xf numFmtId="203" fontId="5" fillId="3" borderId="0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8A1C1C"/>
      </x:font>
      <x:fill>
        <x:patternFill patternType="solid">
          <x:bgColor rgb="FFF4CCCC"/>
        </x:patternFill>
      </x:fill>
    </x:dxf>
    <x:dxf>
      <x:font>
        <x:b/>
        <x:color rgb="FF38761D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d86778c444936" /><Relationship Type="http://schemas.openxmlformats.org/officeDocument/2006/relationships/theme" Target="/xl/theme/theme1.xml" Id="Rdf139de6655a43ed" /><Relationship Type="http://schemas.openxmlformats.org/officeDocument/2006/relationships/sharedStrings" Target="/xl/sharedStrings.xml" Id="R1e571d16630542c8" /><Relationship Type="http://schemas.openxmlformats.org/officeDocument/2006/relationships/worksheet" Target="/xl/worksheets/sheet1.xml" Id="R37df024570724ebf" /><Relationship Type="http://schemas.openxmlformats.org/officeDocument/2006/relationships/worksheet" Target="/xl/worksheets/sheet2.xml" Id="R20754f8cd2d043f7" /><Relationship Type="http://schemas.openxmlformats.org/officeDocument/2006/relationships/worksheet" Target="/xl/worksheets/sheet3.xml" Id="Raef0efa6e05e4a91" /><Relationship Type="http://schemas.openxmlformats.org/officeDocument/2006/relationships/worksheet" Target="/xl/worksheets/sheet4.xml" Id="R33c6c32b0de0475e" /><Relationship Type="http://schemas.openxmlformats.org/officeDocument/2006/relationships/worksheet" Target="/xl/worksheets/sheet5.xml" Id="R6fdee02ee1a24a73" /><Relationship Type="http://schemas.openxmlformats.org/officeDocument/2006/relationships/worksheet" Target="/xl/worksheets/sheet6.xml" Id="R6218b0d90fda4f72" /><Relationship Type="http://schemas.openxmlformats.org/officeDocument/2006/relationships/worksheet" Target="/xl/worksheets/sheet7.xml" Id="Re8156f296a0447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4" hidden="0" customWidth="1"/>
    <x:col min="4" max="4" width="28" hidden="0" customWidth="1"/>
    <x:col min="5" max="5" width="18" hidden="0" customWidth="1"/>
    <x:col min="6" max="6" width="8" hidden="0" customWidth="1"/>
    <x:col min="7" max="7" width="8" hidden="0" customWidth="1"/>
    <x:col min="8" max="8" width="8" hidden="0" customWidth="1"/>
  </x:cols>
  <x:sheetData>
    <x:row r="1">
      <x:c r="A1" s="1" t="str">
        <x:v>ASANA VENDOR PERFORMANCE AND INVOICE AUDIT</x:v>
      </x:c>
      <x:c r="B1" s="1"/>
      <x:c r="C1" s="1"/>
      <x:c r="D1" s="1"/>
      <x:c r="E1" s="1"/>
      <x:c r="F1" s="1"/>
      <x:c r="G1" s="1"/>
      <x:c r="H1" s="1"/>
    </x:row>
    <x:row r="2">
      <x:c r="A2" s="3" t="str">
        <x:v>Management-requested payment-dispute analysis | Fictional identities | Original analytical figures preserved</x:v>
      </x:c>
      <x:c r="B2" s="3"/>
      <x:c r="C2" s="3"/>
      <x:c r="D2" s="3"/>
      <x:c r="E2" s="3"/>
      <x:c r="F2" s="3"/>
      <x:c r="G2" s="3"/>
      <x:c r="H2" s="3"/>
    </x:row>
    <x:row r="4">
      <x:c r="A4" s="24" t="str">
        <x:v>ASANA RECORDS</x:v>
      </x:c>
      <x:c r="B4" s="24" t="str"/>
      <x:c r="D4" s="24" t="str">
        <x:v>ITEMIZED FINANCIALS</x:v>
      </x:c>
      <x:c r="E4" s="24" t="str"/>
    </x:row>
    <x:row r="5">
      <x:c r="A5" s="14" t="str">
        <x:v>Total Tasks</x:v>
      </x:c>
      <x:c r="B5" s="14" t="n">
        <x:f>COUNTA('Asana Tasks'!$A$5:$A$151)</x:f>
        <x:v>147</x:v>
      </x:c>
      <x:c r="D5" s="14" t="str">
        <x:v>Reported Paid</x:v>
      </x:c>
      <x:c r="E5" s="25" t="n">
        <x:f>SUMIF('Financial Ledger'!$G$5:$G$95,"Reported Paid",'Financial Ledger'!$H$5:$H$95)</x:f>
        <x:v>139948</x:v>
      </x:c>
    </x:row>
    <x:row r="6">
      <x:c r="A6" s="14" t="str">
        <x:v>Completed</x:v>
      </x:c>
      <x:c r="B6" s="14" t="n">
        <x:f>COUNTIF('Asana Tasks'!$H$5:$H$151,"Yes")</x:f>
        <x:v>124</x:v>
      </x:c>
      <x:c r="D6" s="14" t="str">
        <x:v>Denied - Work Not Performed</x:v>
      </x:c>
      <x:c r="E6" s="25" t="n">
        <x:f>SUMIF('Financial Ledger'!$G$5:$G$95,"Reported Denied",'Financial Ledger'!$H$5:$H$95)</x:f>
        <x:v>23685</x:v>
      </x:c>
    </x:row>
    <x:row r="7">
      <x:c r="A7" s="14" t="str">
        <x:v>Open</x:v>
      </x:c>
      <x:c r="B7" s="14" t="n">
        <x:f>COUNTIF('Asana Tasks'!$H$5:$H$151,"No")</x:f>
        <x:v>23</x:v>
      </x:c>
      <x:c r="D7" s="14" t="str">
        <x:v>Itemized Total</x:v>
      </x:c>
      <x:c r="E7" s="25" t="n">
        <x:f>E5+E6</x:f>
        <x:v>163633</x:v>
      </x:c>
    </x:row>
    <x:row r="8">
      <x:c r="A8" s="14" t="str">
        <x:v>Failed Inspection</x:v>
      </x:c>
      <x:c r="B8" s="14" t="n">
        <x:f>COUNTIF('Asana Tasks'!$G$5:$G$151,"Failed Inspection")</x:f>
        <x:v>45</x:v>
      </x:c>
      <x:c r="D8" s="14" t="str">
        <x:v>Vendor Unpaid Claim</x:v>
      </x:c>
      <x:c r="E8" s="14" t="str">
        <x:v>&gt; $40,000</x:v>
      </x:c>
    </x:row>
    <x:row r="9">
      <x:c r="A9" s="14" t="str">
        <x:v>Undated</x:v>
      </x:c>
      <x:c r="B9" s="14" t="n">
        <x:f>COUNTIF('Asana Tasks'!$D$5:$D$151,"Undated")</x:f>
        <x:v>21</x:v>
      </x:c>
      <x:c r="D9" s="14" t="str">
        <x:v>Payable Unpaid Amount Found</x:v>
      </x:c>
      <x:c r="E9" s="25" t="n">
        <x:v>0</x:v>
      </x:c>
    </x:row>
    <x:row r="10">
      <x:c r="D10" s="14" t="str">
        <x:v>Financial-System Verified</x:v>
      </x:c>
      <x:c r="E10" s="14" t="str">
        <x:v>No</x:v>
      </x:c>
    </x:row>
    <x:row r="11">
      <x:c r="A11" s="24" t="str">
        <x:v>MANAGEMENT FINDING</x:v>
      </x:c>
      <x:c r="B11" s="24"/>
      <x:c r="C11" s="24"/>
      <x:c r="D11" s="24"/>
      <x:c r="E11" s="24"/>
      <x:c r="F11" s="24"/>
      <x:c r="G11" s="24"/>
      <x:c r="H11" s="24"/>
    </x:row>
    <x:row r="12" ht="40" customHeight="1">
      <x:c r="A12" s="29" t="str">
        <x:v>The vendor asserted that more than $40,000 remained unpaid. The itemized review found $0 payable for completed work remained unpaid. The $23,685 denied amount corresponded to work that was not performed or did not satisfy documented requirements; it was therefore not an unpaid obligation. The analysis gave management a detailed, traceable basis for the organization's position. Asana evidence still required reconciliation to the authoritative financial system before final payment certification.</x:v>
      </x:c>
      <x:c r="B12" s="29"/>
      <x:c r="C12" s="29"/>
      <x:c r="D12" s="29"/>
      <x:c r="E12" s="29"/>
      <x:c r="F12" s="29"/>
      <x:c r="G12" s="29"/>
      <x:c r="H12" s="29"/>
    </x:row>
    <x:row r="13" ht="40" customHeight="1">
      <x:c r="A13" s="29"/>
      <x:c r="B13" s="29"/>
      <x:c r="C13" s="29"/>
      <x:c r="D13" s="29"/>
      <x:c r="E13" s="29"/>
      <x:c r="F13" s="29"/>
      <x:c r="G13" s="29"/>
      <x:c r="H13" s="29"/>
    </x:row>
    <x:row r="15" ht="34" customHeight="1">
      <x:c r="A15" s="3" t="str">
        <x:v>PUBLIC PORTFOLIO NOTICE: Vendor, employee, location, task, invoice, link, and municipal identifiers are fictional. Analytical counts and monetary figures are retained from the management-requested audit.</x:v>
      </x:c>
      <x:c r="B15" s="3"/>
      <x:c r="C15" s="3"/>
      <x:c r="D15" s="3"/>
      <x:c r="E15" s="3"/>
      <x:c r="F15" s="3"/>
      <x:c r="G15" s="3"/>
      <x:c r="H15" s="3"/>
    </x:row>
  </x:sheetData>
  <x:mergeCells>
    <x:mergeCell ref="A1:H1"/>
    <x:mergeCell ref="A2:H2"/>
    <x:mergeCell ref="A11:H11"/>
    <x:mergeCell ref="A12:H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" t="str">
        <x:v>ASANA PERFORMANCE HISTORY - YEARLY SUMMARY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Formula-driven counts from the fictionalized 147-task dataset.</x:v>
      </x:c>
      <x:c r="B2" s="3"/>
      <x:c r="C2" s="3"/>
      <x:c r="D2" s="3"/>
      <x:c r="E2" s="3"/>
      <x:c r="F2" s="3"/>
      <x:c r="G2" s="3"/>
      <x:c r="H2" s="3"/>
      <x:c r="I2" s="3"/>
    </x:row>
    <x:row r="4">
      <x:c r="A4" s="8" t="str">
        <x:v>Year</x:v>
      </x:c>
      <x:c r="B4" s="8" t="str">
        <x:v>Total Tasks</x:v>
      </x:c>
      <x:c r="C4" s="8" t="str">
        <x:v>Completed</x:v>
      </x:c>
      <x:c r="D4" s="8" t="str">
        <x:v>Open</x:v>
      </x:c>
      <x:c r="E4" s="8" t="str">
        <x:v>Failed Inspection</x:v>
      </x:c>
      <x:c r="F4" s="8" t="str">
        <x:v>Passed / Compliant</x:v>
      </x:c>
      <x:c r="G4" s="8" t="str">
        <x:v>Quality Review</x:v>
      </x:c>
      <x:c r="H4" s="8" t="str">
        <x:v>No Status</x:v>
      </x:c>
      <x:c r="I4" s="8" t="str">
        <x:v>Completion Rate</x:v>
      </x:c>
    </x:row>
    <x:row r="5">
      <x:c r="A5" s="18" t="str">
        <x:v>2021</x:v>
      </x:c>
      <x:c r="B5" s="18" t="n">
        <x:f>COUNTIF('Asana Tasks'!$D$5:$D$151,A5)</x:f>
        <x:v>4</x:v>
      </x:c>
      <x:c r="C5" s="18" t="n">
        <x:f>COUNTIFS('Asana Tasks'!$D$5:$D$151,A5,'Asana Tasks'!$H$5:$H$151,"Yes")</x:f>
        <x:v>4</x:v>
      </x:c>
      <x:c r="D5" s="18" t="n">
        <x:f>B5-C5</x:f>
        <x:v>0</x:v>
      </x:c>
      <x:c r="E5" s="18" t="n">
        <x:f>COUNTIFS('Asana Tasks'!$D$5:$D$151,A5,'Asana Tasks'!$G$5:$G$151,"Failed Inspection")</x:f>
        <x:v>3</x:v>
      </x:c>
      <x:c r="F5" s="18" t="n">
        <x:f>COUNTIFS('Asana Tasks'!$D$5:$D$151,A5,'Asana Tasks'!$G$5:$G$151,"Passed Inspection")+COUNTIFS('Asana Tasks'!$D$5:$D$151,A5,'Asana Tasks'!$G$5:$G$151,"Compliant Received")</x:f>
        <x:v>0</x:v>
      </x:c>
      <x:c r="G5" s="18" t="n">
        <x:f>COUNTIFS('Asana Tasks'!$D$5:$D$151,A5,'Asana Tasks'!$G$5:$G$151,"Quality Review!")</x:f>
        <x:v>0</x:v>
      </x:c>
      <x:c r="H5" s="18" t="n">
        <x:f>COUNTIFS('Asana Tasks'!$D$5:$D$151,A5,'Asana Tasks'!$G$5:$G$151,"No status")</x:f>
        <x:v>1</x:v>
      </x:c>
      <x:c r="I5" s="16" t="n">
        <x:f>IFERROR(C5/B5,0)</x:f>
        <x:v>1</x:v>
      </x:c>
    </x:row>
    <x:row r="6">
      <x:c r="A6" s="18" t="str">
        <x:v>2022</x:v>
      </x:c>
      <x:c r="B6" s="18" t="n">
        <x:f>COUNTIF('Asana Tasks'!$D$5:$D$151,A6)</x:f>
        <x:v>24</x:v>
      </x:c>
      <x:c r="C6" s="18" t="n">
        <x:f>COUNTIFS('Asana Tasks'!$D$5:$D$151,A6,'Asana Tasks'!$H$5:$H$151,"Yes")</x:f>
        <x:v>24</x:v>
      </x:c>
      <x:c r="D6" s="18" t="n">
        <x:f>B6-C6</x:f>
        <x:v>0</x:v>
      </x:c>
      <x:c r="E6" s="18" t="n">
        <x:f>COUNTIFS('Asana Tasks'!$D$5:$D$151,A6,'Asana Tasks'!$G$5:$G$151,"Failed Inspection")</x:f>
        <x:v>7</x:v>
      </x:c>
      <x:c r="F6" s="18" t="n">
        <x:f>COUNTIFS('Asana Tasks'!$D$5:$D$151,A6,'Asana Tasks'!$G$5:$G$151,"Passed Inspection")+COUNTIFS('Asana Tasks'!$D$5:$D$151,A6,'Asana Tasks'!$G$5:$G$151,"Compliant Received")</x:f>
        <x:v>10</x:v>
      </x:c>
      <x:c r="G6" s="18" t="n">
        <x:f>COUNTIFS('Asana Tasks'!$D$5:$D$151,A6,'Asana Tasks'!$G$5:$G$151,"Quality Review!")</x:f>
        <x:v>0</x:v>
      </x:c>
      <x:c r="H6" s="18" t="n">
        <x:f>COUNTIFS('Asana Tasks'!$D$5:$D$151,A6,'Asana Tasks'!$G$5:$G$151,"No status")</x:f>
        <x:v>5</x:v>
      </x:c>
      <x:c r="I6" s="16" t="n">
        <x:f>IFERROR(C6/B6,0)</x:f>
        <x:v>1</x:v>
      </x:c>
    </x:row>
    <x:row r="7">
      <x:c r="A7" s="18" t="str">
        <x:v>2023</x:v>
      </x:c>
      <x:c r="B7" s="18" t="n">
        <x:f>COUNTIF('Asana Tasks'!$D$5:$D$151,A7)</x:f>
        <x:v>27</x:v>
      </x:c>
      <x:c r="C7" s="18" t="n">
        <x:f>COUNTIFS('Asana Tasks'!$D$5:$D$151,A7,'Asana Tasks'!$H$5:$H$151,"Yes")</x:f>
        <x:v>27</x:v>
      </x:c>
      <x:c r="D7" s="18" t="n">
        <x:f>B7-C7</x:f>
        <x:v>0</x:v>
      </x:c>
      <x:c r="E7" s="18" t="n">
        <x:f>COUNTIFS('Asana Tasks'!$D$5:$D$151,A7,'Asana Tasks'!$G$5:$G$151,"Failed Inspection")</x:f>
        <x:v>1</x:v>
      </x:c>
      <x:c r="F7" s="18" t="n">
        <x:f>COUNTIFS('Asana Tasks'!$D$5:$D$151,A7,'Asana Tasks'!$G$5:$G$151,"Passed Inspection")+COUNTIFS('Asana Tasks'!$D$5:$D$151,A7,'Asana Tasks'!$G$5:$G$151,"Compliant Received")</x:f>
        <x:v>0</x:v>
      </x:c>
      <x:c r="G7" s="18" t="n">
        <x:f>COUNTIFS('Asana Tasks'!$D$5:$D$151,A7,'Asana Tasks'!$G$5:$G$151,"Quality Review!")</x:f>
        <x:v>0</x:v>
      </x:c>
      <x:c r="H7" s="18" t="n">
        <x:f>COUNTIFS('Asana Tasks'!$D$5:$D$151,A7,'Asana Tasks'!$G$5:$G$151,"No status")</x:f>
        <x:v>26</x:v>
      </x:c>
      <x:c r="I7" s="16" t="n">
        <x:f>IFERROR(C7/B7,0)</x:f>
        <x:v>1</x:v>
      </x:c>
    </x:row>
    <x:row r="8">
      <x:c r="A8" s="18" t="str">
        <x:v>2024</x:v>
      </x:c>
      <x:c r="B8" s="18" t="n">
        <x:f>COUNTIF('Asana Tasks'!$D$5:$D$151,A8)</x:f>
        <x:v>25</x:v>
      </x:c>
      <x:c r="C8" s="18" t="n">
        <x:f>COUNTIFS('Asana Tasks'!$D$5:$D$151,A8,'Asana Tasks'!$H$5:$H$151,"Yes")</x:f>
        <x:v>20</x:v>
      </x:c>
      <x:c r="D8" s="18" t="n">
        <x:f>B8-C8</x:f>
        <x:v>5</x:v>
      </x:c>
      <x:c r="E8" s="18" t="n">
        <x:f>COUNTIFS('Asana Tasks'!$D$5:$D$151,A8,'Asana Tasks'!$G$5:$G$151,"Failed Inspection")</x:f>
        <x:v>5</x:v>
      </x:c>
      <x:c r="F8" s="18" t="n">
        <x:f>COUNTIFS('Asana Tasks'!$D$5:$D$151,A8,'Asana Tasks'!$G$5:$G$151,"Passed Inspection")+COUNTIFS('Asana Tasks'!$D$5:$D$151,A8,'Asana Tasks'!$G$5:$G$151,"Compliant Received")</x:f>
        <x:v>3</x:v>
      </x:c>
      <x:c r="G8" s="18" t="n">
        <x:f>COUNTIFS('Asana Tasks'!$D$5:$D$151,A8,'Asana Tasks'!$G$5:$G$151,"Quality Review!")</x:f>
        <x:v>2</x:v>
      </x:c>
      <x:c r="H8" s="18" t="n">
        <x:f>COUNTIFS('Asana Tasks'!$D$5:$D$151,A8,'Asana Tasks'!$G$5:$G$151,"No status")</x:f>
        <x:v>15</x:v>
      </x:c>
      <x:c r="I8" s="16" t="n">
        <x:f>IFERROR(C8/B8,0)</x:f>
        <x:v>0.8</x:v>
      </x:c>
    </x:row>
    <x:row r="9">
      <x:c r="A9" s="18" t="str">
        <x:v>2025</x:v>
      </x:c>
      <x:c r="B9" s="18" t="n">
        <x:f>COUNTIF('Asana Tasks'!$D$5:$D$151,A9)</x:f>
        <x:v>23</x:v>
      </x:c>
      <x:c r="C9" s="18" t="n">
        <x:f>COUNTIFS('Asana Tasks'!$D$5:$D$151,A9,'Asana Tasks'!$H$5:$H$151,"Yes")</x:f>
        <x:v>23</x:v>
      </x:c>
      <x:c r="D9" s="18" t="n">
        <x:f>B9-C9</x:f>
        <x:v>0</x:v>
      </x:c>
      <x:c r="E9" s="18" t="n">
        <x:f>COUNTIFS('Asana Tasks'!$D$5:$D$151,A9,'Asana Tasks'!$G$5:$G$151,"Failed Inspection")</x:f>
        <x:v>12</x:v>
      </x:c>
      <x:c r="F9" s="18" t="n">
        <x:f>COUNTIFS('Asana Tasks'!$D$5:$D$151,A9,'Asana Tasks'!$G$5:$G$151,"Passed Inspection")+COUNTIFS('Asana Tasks'!$D$5:$D$151,A9,'Asana Tasks'!$G$5:$G$151,"Compliant Received")</x:f>
        <x:v>5</x:v>
      </x:c>
      <x:c r="G9" s="18" t="n">
        <x:f>COUNTIFS('Asana Tasks'!$D$5:$D$151,A9,'Asana Tasks'!$G$5:$G$151,"Quality Review!")</x:f>
        <x:v>0</x:v>
      </x:c>
      <x:c r="H9" s="18" t="n">
        <x:f>COUNTIFS('Asana Tasks'!$D$5:$D$151,A9,'Asana Tasks'!$G$5:$G$151,"No status")</x:f>
        <x:v>6</x:v>
      </x:c>
      <x:c r="I9" s="16" t="n">
        <x:f>IFERROR(C9/B9,0)</x:f>
        <x:v>1</x:v>
      </x:c>
    </x:row>
    <x:row r="10">
      <x:c r="A10" s="18" t="str">
        <x:v>2026</x:v>
      </x:c>
      <x:c r="B10" s="18" t="n">
        <x:f>COUNTIF('Asana Tasks'!$D$5:$D$151,A10)</x:f>
        <x:v>23</x:v>
      </x:c>
      <x:c r="C10" s="18" t="n">
        <x:f>COUNTIFS('Asana Tasks'!$D$5:$D$151,A10,'Asana Tasks'!$H$5:$H$151,"Yes")</x:f>
        <x:v>6</x:v>
      </x:c>
      <x:c r="D10" s="18" t="n">
        <x:f>B10-C10</x:f>
        <x:v>17</x:v>
      </x:c>
      <x:c r="E10" s="18" t="n">
        <x:f>COUNTIFS('Asana Tasks'!$D$5:$D$151,A10,'Asana Tasks'!$G$5:$G$151,"Failed Inspection")</x:f>
        <x:v>11</x:v>
      </x:c>
      <x:c r="F10" s="18" t="n">
        <x:f>COUNTIFS('Asana Tasks'!$D$5:$D$151,A10,'Asana Tasks'!$G$5:$G$151,"Passed Inspection")+COUNTIFS('Asana Tasks'!$D$5:$D$151,A10,'Asana Tasks'!$G$5:$G$151,"Compliant Received")</x:f>
        <x:v>6</x:v>
      </x:c>
      <x:c r="G10" s="18" t="n">
        <x:f>COUNTIFS('Asana Tasks'!$D$5:$D$151,A10,'Asana Tasks'!$G$5:$G$151,"Quality Review!")</x:f>
        <x:v>2</x:v>
      </x:c>
      <x:c r="H10" s="18" t="n">
        <x:f>COUNTIFS('Asana Tasks'!$D$5:$D$151,A10,'Asana Tasks'!$G$5:$G$151,"No status")</x:f>
        <x:v>4</x:v>
      </x:c>
      <x:c r="I10" s="16" t="n">
        <x:f>IFERROR(C10/B10,0)</x:f>
        <x:v>0.2608695652173913</x:v>
      </x:c>
    </x:row>
    <x:row r="11">
      <x:c r="A11" s="18" t="str">
        <x:v>Undated</x:v>
      </x:c>
      <x:c r="B11" s="18" t="n">
        <x:f>COUNTIF('Asana Tasks'!$D$5:$D$151,A11)</x:f>
        <x:v>21</x:v>
      </x:c>
      <x:c r="C11" s="18" t="n">
        <x:f>COUNTIFS('Asana Tasks'!$D$5:$D$151,A11,'Asana Tasks'!$H$5:$H$151,"Yes")</x:f>
        <x:v>20</x:v>
      </x:c>
      <x:c r="D11" s="18" t="n">
        <x:f>B11-C11</x:f>
        <x:v>1</x:v>
      </x:c>
      <x:c r="E11" s="18" t="n">
        <x:f>COUNTIFS('Asana Tasks'!$D$5:$D$151,A11,'Asana Tasks'!$G$5:$G$151,"Failed Inspection")</x:f>
        <x:v>6</x:v>
      </x:c>
      <x:c r="F11" s="18" t="n">
        <x:f>COUNTIFS('Asana Tasks'!$D$5:$D$151,A11,'Asana Tasks'!$G$5:$G$151,"Passed Inspection")+COUNTIFS('Asana Tasks'!$D$5:$D$151,A11,'Asana Tasks'!$G$5:$G$151,"Compliant Received")</x:f>
        <x:v>1</x:v>
      </x:c>
      <x:c r="G11" s="18" t="n">
        <x:f>COUNTIFS('Asana Tasks'!$D$5:$D$151,A11,'Asana Tasks'!$G$5:$G$151,"Quality Review!")</x:f>
        <x:v>1</x:v>
      </x:c>
      <x:c r="H11" s="18" t="n">
        <x:f>COUNTIFS('Asana Tasks'!$D$5:$D$151,A11,'Asana Tasks'!$G$5:$G$151,"No status")</x:f>
        <x:v>0</x:v>
      </x:c>
      <x:c r="I11" s="16" t="n">
        <x:f>IFERROR(C11/B11,0)</x:f>
        <x:v>0.9523809523809523</x:v>
      </x:c>
    </x:row>
    <x:row r="12">
      <x:c r="A12" s="15" t="str">
        <x:v>TOTAL</x:v>
      </x:c>
      <x:c r="B12" s="15" t="n">
        <x:f>SUM(B5:B11)</x:f>
        <x:v>147</x:v>
      </x:c>
      <x:c r="C12" s="15" t="n">
        <x:f>SUM(C5:C11)</x:f>
        <x:v>124</x:v>
      </x:c>
      <x:c r="D12" s="15" t="n">
        <x:f>SUM(D5:D11)</x:f>
        <x:v>23</x:v>
      </x:c>
      <x:c r="E12" s="15" t="n">
        <x:f>SUM(E5:E11)</x:f>
        <x:v>45</x:v>
      </x:c>
      <x:c r="F12" s="15" t="n">
        <x:f>SUM(F5:F11)</x:f>
        <x:v>25</x:v>
      </x:c>
      <x:c r="G12" s="15" t="n">
        <x:f>SUM(G5:G11)</x:f>
        <x:v>5</x:v>
      </x:c>
      <x:c r="H12" s="15" t="n">
        <x:f>SUM(H5:H11)</x:f>
        <x:v>57</x:v>
      </x:c>
      <x:c r="I12" s="17" t="n">
        <x:f>IFERROR(C12/B12,0)</x:f>
        <x:v>0.8435374149659864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" t="str">
        <x:v>ASANA PERFORMANCE HISTORY - MONTHLY SUMMARY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Monthly view based on each task's reporting date.</x:v>
      </x:c>
      <x:c r="B2" s="3"/>
      <x:c r="C2" s="3"/>
      <x:c r="D2" s="3"/>
      <x:c r="E2" s="3"/>
      <x:c r="F2" s="3"/>
      <x:c r="G2" s="3"/>
      <x:c r="H2" s="3"/>
      <x:c r="I2" s="3"/>
    </x:row>
    <x:row r="4">
      <x:c r="A4" s="8" t="str">
        <x:v>Month</x:v>
      </x:c>
      <x:c r="B4" s="8" t="str">
        <x:v>Total Tasks</x:v>
      </x:c>
      <x:c r="C4" s="8" t="str">
        <x:v>Completed</x:v>
      </x:c>
      <x:c r="D4" s="8" t="str">
        <x:v>Open</x:v>
      </x:c>
      <x:c r="E4" s="8" t="str">
        <x:v>Failed Inspection</x:v>
      </x:c>
      <x:c r="F4" s="8" t="str">
        <x:v>Passed / Compliant</x:v>
      </x:c>
      <x:c r="G4" s="8" t="str">
        <x:v>Quality Review</x:v>
      </x:c>
      <x:c r="H4" s="8" t="str">
        <x:v>No Status</x:v>
      </x:c>
      <x:c r="I4" s="8" t="str">
        <x:v>Completion Rate</x:v>
      </x:c>
    </x:row>
    <x:row r="5">
      <x:c r="A5" s="18" t="str">
        <x:v>2021-11</x:v>
      </x:c>
      <x:c r="B5" s="18" t="n">
        <x:f>COUNTIF('Asana Tasks'!$E$5:$E$151,A5)</x:f>
        <x:v>3</x:v>
      </x:c>
      <x:c r="C5" s="18" t="n">
        <x:f>COUNTIFS('Asana Tasks'!$E$5:$E$151,A5,'Asana Tasks'!$H$5:$H$151,"Yes")</x:f>
        <x:v>3</x:v>
      </x:c>
      <x:c r="D5" s="18" t="n">
        <x:f>B5-C5</x:f>
        <x:v>0</x:v>
      </x:c>
      <x:c r="E5" s="18" t="n">
        <x:f>COUNTIFS('Asana Tasks'!$E$5:$E$151,A5,'Asana Tasks'!$G$5:$G$151,"Failed Inspection")</x:f>
        <x:v>2</x:v>
      </x:c>
      <x:c r="F5" s="18" t="n">
        <x:f>COUNTIFS('Asana Tasks'!$E$5:$E$151,A5,'Asana Tasks'!$G$5:$G$151,"Passed Inspection")+COUNTIFS('Asana Tasks'!$E$5:$E$151,A5,'Asana Tasks'!$G$5:$G$151,"Compliant Received")</x:f>
        <x:v>0</x:v>
      </x:c>
      <x:c r="G5" s="18" t="n">
        <x:f>COUNTIFS('Asana Tasks'!$E$5:$E$151,A5,'Asana Tasks'!$G$5:$G$151,"Quality Review!")</x:f>
        <x:v>0</x:v>
      </x:c>
      <x:c r="H5" s="18" t="n">
        <x:f>COUNTIFS('Asana Tasks'!$E$5:$E$151,A5,'Asana Tasks'!$G$5:$G$151,"No status")</x:f>
        <x:v>1</x:v>
      </x:c>
      <x:c r="I5" s="16" t="n">
        <x:f>IFERROR(C5/B5,0)</x:f>
        <x:v>1</x:v>
      </x:c>
    </x:row>
    <x:row r="6">
      <x:c r="A6" s="18" t="str">
        <x:v>2021-12</x:v>
      </x:c>
      <x:c r="B6" s="18" t="n">
        <x:f>COUNTIF('Asana Tasks'!$E$5:$E$151,A6)</x:f>
        <x:v>1</x:v>
      </x:c>
      <x:c r="C6" s="18" t="n">
        <x:f>COUNTIFS('Asana Tasks'!$E$5:$E$151,A6,'Asana Tasks'!$H$5:$H$151,"Yes")</x:f>
        <x:v>1</x:v>
      </x:c>
      <x:c r="D6" s="18" t="n">
        <x:f>B6-C6</x:f>
        <x:v>0</x:v>
      </x:c>
      <x:c r="E6" s="18" t="n">
        <x:f>COUNTIFS('Asana Tasks'!$E$5:$E$151,A6,'Asana Tasks'!$G$5:$G$151,"Failed Inspection")</x:f>
        <x:v>1</x:v>
      </x:c>
      <x:c r="F6" s="18" t="n">
        <x:f>COUNTIFS('Asana Tasks'!$E$5:$E$151,A6,'Asana Tasks'!$G$5:$G$151,"Passed Inspection")+COUNTIFS('Asana Tasks'!$E$5:$E$151,A6,'Asana Tasks'!$G$5:$G$151,"Compliant Received")</x:f>
        <x:v>0</x:v>
      </x:c>
      <x:c r="G6" s="18" t="n">
        <x:f>COUNTIFS('Asana Tasks'!$E$5:$E$151,A6,'Asana Tasks'!$G$5:$G$151,"Quality Review!")</x:f>
        <x:v>0</x:v>
      </x:c>
      <x:c r="H6" s="18" t="n">
        <x:f>COUNTIFS('Asana Tasks'!$E$5:$E$151,A6,'Asana Tasks'!$G$5:$G$151,"No status")</x:f>
        <x:v>0</x:v>
      </x:c>
      <x:c r="I6" s="16" t="n">
        <x:f>IFERROR(C6/B6,0)</x:f>
        <x:v>1</x:v>
      </x:c>
    </x:row>
    <x:row r="7">
      <x:c r="A7" s="18" t="str">
        <x:v>2022-01</x:v>
      </x:c>
      <x:c r="B7" s="18" t="n">
        <x:f>COUNTIF('Asana Tasks'!$E$5:$E$151,A7)</x:f>
        <x:v>5</x:v>
      </x:c>
      <x:c r="C7" s="18" t="n">
        <x:f>COUNTIFS('Asana Tasks'!$E$5:$E$151,A7,'Asana Tasks'!$H$5:$H$151,"Yes")</x:f>
        <x:v>5</x:v>
      </x:c>
      <x:c r="D7" s="18" t="n">
        <x:f>B7-C7</x:f>
        <x:v>0</x:v>
      </x:c>
      <x:c r="E7" s="18" t="n">
        <x:f>COUNTIFS('Asana Tasks'!$E$5:$E$151,A7,'Asana Tasks'!$G$5:$G$151,"Failed Inspection")</x:f>
        <x:v>4</x:v>
      </x:c>
      <x:c r="F7" s="18" t="n">
        <x:f>COUNTIFS('Asana Tasks'!$E$5:$E$151,A7,'Asana Tasks'!$G$5:$G$151,"Passed Inspection")+COUNTIFS('Asana Tasks'!$E$5:$E$151,A7,'Asana Tasks'!$G$5:$G$151,"Compliant Received")</x:f>
        <x:v>0</x:v>
      </x:c>
      <x:c r="G7" s="18" t="n">
        <x:f>COUNTIFS('Asana Tasks'!$E$5:$E$151,A7,'Asana Tasks'!$G$5:$G$151,"Quality Review!")</x:f>
        <x:v>0</x:v>
      </x:c>
      <x:c r="H7" s="18" t="n">
        <x:f>COUNTIFS('Asana Tasks'!$E$5:$E$151,A7,'Asana Tasks'!$G$5:$G$151,"No status")</x:f>
        <x:v>0</x:v>
      </x:c>
      <x:c r="I7" s="16" t="n">
        <x:f>IFERROR(C7/B7,0)</x:f>
        <x:v>1</x:v>
      </x:c>
    </x:row>
    <x:row r="8">
      <x:c r="A8" s="18" t="str">
        <x:v>2022-02</x:v>
      </x:c>
      <x:c r="B8" s="18" t="n">
        <x:f>COUNTIF('Asana Tasks'!$E$5:$E$151,A8)</x:f>
        <x:v>2</x:v>
      </x:c>
      <x:c r="C8" s="18" t="n">
        <x:f>COUNTIFS('Asana Tasks'!$E$5:$E$151,A8,'Asana Tasks'!$H$5:$H$151,"Yes")</x:f>
        <x:v>2</x:v>
      </x:c>
      <x:c r="D8" s="18" t="n">
        <x:f>B8-C8</x:f>
        <x:v>0</x:v>
      </x:c>
      <x:c r="E8" s="18" t="n">
        <x:f>COUNTIFS('Asana Tasks'!$E$5:$E$151,A8,'Asana Tasks'!$G$5:$G$151,"Failed Inspection")</x:f>
        <x:v>1</x:v>
      </x:c>
      <x:c r="F8" s="18" t="n">
        <x:f>COUNTIFS('Asana Tasks'!$E$5:$E$151,A8,'Asana Tasks'!$G$5:$G$151,"Passed Inspection")+COUNTIFS('Asana Tasks'!$E$5:$E$151,A8,'Asana Tasks'!$G$5:$G$151,"Compliant Received")</x:f>
        <x:v>1</x:v>
      </x:c>
      <x:c r="G8" s="18" t="n">
        <x:f>COUNTIFS('Asana Tasks'!$E$5:$E$151,A8,'Asana Tasks'!$G$5:$G$151,"Quality Review!")</x:f>
        <x:v>0</x:v>
      </x:c>
      <x:c r="H8" s="18" t="n">
        <x:f>COUNTIFS('Asana Tasks'!$E$5:$E$151,A8,'Asana Tasks'!$G$5:$G$151,"No status")</x:f>
        <x:v>0</x:v>
      </x:c>
      <x:c r="I8" s="16" t="n">
        <x:f>IFERROR(C8/B8,0)</x:f>
        <x:v>1</x:v>
      </x:c>
    </x:row>
    <x:row r="9">
      <x:c r="A9" s="18" t="str">
        <x:v>2022-03</x:v>
      </x:c>
      <x:c r="B9" s="18" t="n">
        <x:f>COUNTIF('Asana Tasks'!$E$5:$E$151,A9)</x:f>
        <x:v>4</x:v>
      </x:c>
      <x:c r="C9" s="18" t="n">
        <x:f>COUNTIFS('Asana Tasks'!$E$5:$E$151,A9,'Asana Tasks'!$H$5:$H$151,"Yes")</x:f>
        <x:v>4</x:v>
      </x:c>
      <x:c r="D9" s="18" t="n">
        <x:f>B9-C9</x:f>
        <x:v>0</x:v>
      </x:c>
      <x:c r="E9" s="18" t="n">
        <x:f>COUNTIFS('Asana Tasks'!$E$5:$E$151,A9,'Asana Tasks'!$G$5:$G$151,"Failed Inspection")</x:f>
        <x:v>0</x:v>
      </x:c>
      <x:c r="F9" s="18" t="n">
        <x:f>COUNTIFS('Asana Tasks'!$E$5:$E$151,A9,'Asana Tasks'!$G$5:$G$151,"Passed Inspection")+COUNTIFS('Asana Tasks'!$E$5:$E$151,A9,'Asana Tasks'!$G$5:$G$151,"Compliant Received")</x:f>
        <x:v>4</x:v>
      </x:c>
      <x:c r="G9" s="18" t="n">
        <x:f>COUNTIFS('Asana Tasks'!$E$5:$E$151,A9,'Asana Tasks'!$G$5:$G$151,"Quality Review!")</x:f>
        <x:v>0</x:v>
      </x:c>
      <x:c r="H9" s="18" t="n">
        <x:f>COUNTIFS('Asana Tasks'!$E$5:$E$151,A9,'Asana Tasks'!$G$5:$G$151,"No status")</x:f>
        <x:v>0</x:v>
      </x:c>
      <x:c r="I9" s="16" t="n">
        <x:f>IFERROR(C9/B9,0)</x:f>
        <x:v>1</x:v>
      </x:c>
    </x:row>
    <x:row r="10">
      <x:c r="A10" s="18" t="str">
        <x:v>2022-04</x:v>
      </x:c>
      <x:c r="B10" s="18" t="n">
        <x:f>COUNTIF('Asana Tasks'!$E$5:$E$151,A10)</x:f>
        <x:v>1</x:v>
      </x:c>
      <x:c r="C10" s="18" t="n">
        <x:f>COUNTIFS('Asana Tasks'!$E$5:$E$151,A10,'Asana Tasks'!$H$5:$H$151,"Yes")</x:f>
        <x:v>1</x:v>
      </x:c>
      <x:c r="D10" s="18" t="n">
        <x:f>B10-C10</x:f>
        <x:v>0</x:v>
      </x:c>
      <x:c r="E10" s="18" t="n">
        <x:f>COUNTIFS('Asana Tasks'!$E$5:$E$151,A10,'Asana Tasks'!$G$5:$G$151,"Failed Inspection")</x:f>
        <x:v>1</x:v>
      </x:c>
      <x:c r="F10" s="18" t="n">
        <x:f>COUNTIFS('Asana Tasks'!$E$5:$E$151,A10,'Asana Tasks'!$G$5:$G$151,"Passed Inspection")+COUNTIFS('Asana Tasks'!$E$5:$E$151,A10,'Asana Tasks'!$G$5:$G$151,"Compliant Received")</x:f>
        <x:v>0</x:v>
      </x:c>
      <x:c r="G10" s="18" t="n">
        <x:f>COUNTIFS('Asana Tasks'!$E$5:$E$151,A10,'Asana Tasks'!$G$5:$G$151,"Quality Review!")</x:f>
        <x:v>0</x:v>
      </x:c>
      <x:c r="H10" s="18" t="n">
        <x:f>COUNTIFS('Asana Tasks'!$E$5:$E$151,A10,'Asana Tasks'!$G$5:$G$151,"No status")</x:f>
        <x:v>0</x:v>
      </x:c>
      <x:c r="I10" s="16" t="n">
        <x:f>IFERROR(C10/B10,0)</x:f>
        <x:v>1</x:v>
      </x:c>
    </x:row>
    <x:row r="11">
      <x:c r="A11" s="18" t="str">
        <x:v>2022-05</x:v>
      </x:c>
      <x:c r="B11" s="18" t="n">
        <x:f>COUNTIF('Asana Tasks'!$E$5:$E$151,A11)</x:f>
        <x:v>2</x:v>
      </x:c>
      <x:c r="C11" s="18" t="n">
        <x:f>COUNTIFS('Asana Tasks'!$E$5:$E$151,A11,'Asana Tasks'!$H$5:$H$151,"Yes")</x:f>
        <x:v>2</x:v>
      </x:c>
      <x:c r="D11" s="18" t="n">
        <x:f>B11-C11</x:f>
        <x:v>0</x:v>
      </x:c>
      <x:c r="E11" s="18" t="n">
        <x:f>COUNTIFS('Asana Tasks'!$E$5:$E$151,A11,'Asana Tasks'!$G$5:$G$151,"Failed Inspection")</x:f>
        <x:v>0</x:v>
      </x:c>
      <x:c r="F11" s="18" t="n">
        <x:f>COUNTIFS('Asana Tasks'!$E$5:$E$151,A11,'Asana Tasks'!$G$5:$G$151,"Passed Inspection")+COUNTIFS('Asana Tasks'!$E$5:$E$151,A11,'Asana Tasks'!$G$5:$G$151,"Compliant Received")</x:f>
        <x:v>1</x:v>
      </x:c>
      <x:c r="G11" s="18" t="n">
        <x:f>COUNTIFS('Asana Tasks'!$E$5:$E$151,A11,'Asana Tasks'!$G$5:$G$151,"Quality Review!")</x:f>
        <x:v>0</x:v>
      </x:c>
      <x:c r="H11" s="18" t="n">
        <x:f>COUNTIFS('Asana Tasks'!$E$5:$E$151,A11,'Asana Tasks'!$G$5:$G$151,"No status")</x:f>
        <x:v>0</x:v>
      </x:c>
      <x:c r="I11" s="16" t="n">
        <x:f>IFERROR(C11/B11,0)</x:f>
        <x:v>1</x:v>
      </x:c>
    </x:row>
    <x:row r="12">
      <x:c r="A12" s="18" t="str">
        <x:v>2022-06</x:v>
      </x:c>
      <x:c r="B12" s="18" t="n">
        <x:f>COUNTIF('Asana Tasks'!$E$5:$E$151,A12)</x:f>
        <x:v>1</x:v>
      </x:c>
      <x:c r="C12" s="18" t="n">
        <x:f>COUNTIFS('Asana Tasks'!$E$5:$E$151,A12,'Asana Tasks'!$H$5:$H$151,"Yes")</x:f>
        <x:v>1</x:v>
      </x:c>
      <x:c r="D12" s="18" t="n">
        <x:f>B12-C12</x:f>
        <x:v>0</x:v>
      </x:c>
      <x:c r="E12" s="18" t="n">
        <x:f>COUNTIFS('Asana Tasks'!$E$5:$E$151,A12,'Asana Tasks'!$G$5:$G$151,"Failed Inspection")</x:f>
        <x:v>0</x:v>
      </x:c>
      <x:c r="F12" s="18" t="n">
        <x:f>COUNTIFS('Asana Tasks'!$E$5:$E$151,A12,'Asana Tasks'!$G$5:$G$151,"Passed Inspection")+COUNTIFS('Asana Tasks'!$E$5:$E$151,A12,'Asana Tasks'!$G$5:$G$151,"Compliant Received")</x:f>
        <x:v>1</x:v>
      </x:c>
      <x:c r="G12" s="18" t="n">
        <x:f>COUNTIFS('Asana Tasks'!$E$5:$E$151,A12,'Asana Tasks'!$G$5:$G$151,"Quality Review!")</x:f>
        <x:v>0</x:v>
      </x:c>
      <x:c r="H12" s="18" t="n">
        <x:f>COUNTIFS('Asana Tasks'!$E$5:$E$151,A12,'Asana Tasks'!$G$5:$G$151,"No status")</x:f>
        <x:v>0</x:v>
      </x:c>
      <x:c r="I12" s="16" t="n">
        <x:f>IFERROR(C12/B12,0)</x:f>
        <x:v>1</x:v>
      </x:c>
    </x:row>
    <x:row r="13">
      <x:c r="A13" s="18" t="str">
        <x:v>2022-07</x:v>
      </x:c>
      <x:c r="B13" s="18" t="n">
        <x:f>COUNTIF('Asana Tasks'!$E$5:$E$151,A13)</x:f>
        <x:v>1</x:v>
      </x:c>
      <x:c r="C13" s="18" t="n">
        <x:f>COUNTIFS('Asana Tasks'!$E$5:$E$151,A13,'Asana Tasks'!$H$5:$H$151,"Yes")</x:f>
        <x:v>1</x:v>
      </x:c>
      <x:c r="D13" s="18" t="n">
        <x:f>B13-C13</x:f>
        <x:v>0</x:v>
      </x:c>
      <x:c r="E13" s="18" t="n">
        <x:f>COUNTIFS('Asana Tasks'!$E$5:$E$151,A13,'Asana Tasks'!$G$5:$G$151,"Failed Inspection")</x:f>
        <x:v>0</x:v>
      </x:c>
      <x:c r="F13" s="18" t="n">
        <x:f>COUNTIFS('Asana Tasks'!$E$5:$E$151,A13,'Asana Tasks'!$G$5:$G$151,"Passed Inspection")+COUNTIFS('Asana Tasks'!$E$5:$E$151,A13,'Asana Tasks'!$G$5:$G$151,"Compliant Received")</x:f>
        <x:v>1</x:v>
      </x:c>
      <x:c r="G13" s="18" t="n">
        <x:f>COUNTIFS('Asana Tasks'!$E$5:$E$151,A13,'Asana Tasks'!$G$5:$G$151,"Quality Review!")</x:f>
        <x:v>0</x:v>
      </x:c>
      <x:c r="H13" s="18" t="n">
        <x:f>COUNTIFS('Asana Tasks'!$E$5:$E$151,A13,'Asana Tasks'!$G$5:$G$151,"No status")</x:f>
        <x:v>0</x:v>
      </x:c>
      <x:c r="I13" s="16" t="n">
        <x:f>IFERROR(C13/B13,0)</x:f>
        <x:v>1</x:v>
      </x:c>
    </x:row>
    <x:row r="14">
      <x:c r="A14" s="18" t="str">
        <x:v>2022-08</x:v>
      </x:c>
      <x:c r="B14" s="18" t="n">
        <x:f>COUNTIF('Asana Tasks'!$E$5:$E$151,A14)</x:f>
        <x:v>1</x:v>
      </x:c>
      <x:c r="C14" s="18" t="n">
        <x:f>COUNTIFS('Asana Tasks'!$E$5:$E$151,A14,'Asana Tasks'!$H$5:$H$151,"Yes")</x:f>
        <x:v>1</x:v>
      </x:c>
      <x:c r="D14" s="18" t="n">
        <x:f>B14-C14</x:f>
        <x:v>0</x:v>
      </x:c>
      <x:c r="E14" s="18" t="n">
        <x:f>COUNTIFS('Asana Tasks'!$E$5:$E$151,A14,'Asana Tasks'!$G$5:$G$151,"Failed Inspection")</x:f>
        <x:v>0</x:v>
      </x:c>
      <x:c r="F14" s="18" t="n">
        <x:f>COUNTIFS('Asana Tasks'!$E$5:$E$151,A14,'Asana Tasks'!$G$5:$G$151,"Passed Inspection")+COUNTIFS('Asana Tasks'!$E$5:$E$151,A14,'Asana Tasks'!$G$5:$G$151,"Compliant Received")</x:f>
        <x:v>1</x:v>
      </x:c>
      <x:c r="G14" s="18" t="n">
        <x:f>COUNTIFS('Asana Tasks'!$E$5:$E$151,A14,'Asana Tasks'!$G$5:$G$151,"Quality Review!")</x:f>
        <x:v>0</x:v>
      </x:c>
      <x:c r="H14" s="18" t="n">
        <x:f>COUNTIFS('Asana Tasks'!$E$5:$E$151,A14,'Asana Tasks'!$G$5:$G$151,"No status")</x:f>
        <x:v>0</x:v>
      </x:c>
      <x:c r="I14" s="16" t="n">
        <x:f>IFERROR(C14/B14,0)</x:f>
        <x:v>1</x:v>
      </x:c>
    </x:row>
    <x:row r="15">
      <x:c r="A15" s="18" t="str">
        <x:v>2022-09</x:v>
      </x:c>
      <x:c r="B15" s="18" t="n">
        <x:f>COUNTIF('Asana Tasks'!$E$5:$E$151,A15)</x:f>
        <x:v>1</x:v>
      </x:c>
      <x:c r="C15" s="18" t="n">
        <x:f>COUNTIFS('Asana Tasks'!$E$5:$E$151,A15,'Asana Tasks'!$H$5:$H$151,"Yes")</x:f>
        <x:v>1</x:v>
      </x:c>
      <x:c r="D15" s="18" t="n">
        <x:f>B15-C15</x:f>
        <x:v>0</x:v>
      </x:c>
      <x:c r="E15" s="18" t="n">
        <x:f>COUNTIFS('Asana Tasks'!$E$5:$E$151,A15,'Asana Tasks'!$G$5:$G$151,"Failed Inspection")</x:f>
        <x:v>1</x:v>
      </x:c>
      <x:c r="F15" s="18" t="n">
        <x:f>COUNTIFS('Asana Tasks'!$E$5:$E$151,A15,'Asana Tasks'!$G$5:$G$151,"Passed Inspection")+COUNTIFS('Asana Tasks'!$E$5:$E$151,A15,'Asana Tasks'!$G$5:$G$151,"Compliant Received")</x:f>
        <x:v>0</x:v>
      </x:c>
      <x:c r="G15" s="18" t="n">
        <x:f>COUNTIFS('Asana Tasks'!$E$5:$E$151,A15,'Asana Tasks'!$G$5:$G$151,"Quality Review!")</x:f>
        <x:v>0</x:v>
      </x:c>
      <x:c r="H15" s="18" t="n">
        <x:f>COUNTIFS('Asana Tasks'!$E$5:$E$151,A15,'Asana Tasks'!$G$5:$G$151,"No status")</x:f>
        <x:v>0</x:v>
      </x:c>
      <x:c r="I15" s="16" t="n">
        <x:f>IFERROR(C15/B15,0)</x:f>
        <x:v>1</x:v>
      </x:c>
    </x:row>
    <x:row r="16">
      <x:c r="A16" s="18" t="str">
        <x:v>2022-10</x:v>
      </x:c>
      <x:c r="B16" s="18" t="n">
        <x:f>COUNTIF('Asana Tasks'!$E$5:$E$151,A16)</x:f>
        <x:v>2</x:v>
      </x:c>
      <x:c r="C16" s="18" t="n">
        <x:f>COUNTIFS('Asana Tasks'!$E$5:$E$151,A16,'Asana Tasks'!$H$5:$H$151,"Yes")</x:f>
        <x:v>2</x:v>
      </x:c>
      <x:c r="D16" s="18" t="n">
        <x:f>B16-C16</x:f>
        <x:v>0</x:v>
      </x:c>
      <x:c r="E16" s="18" t="n">
        <x:f>COUNTIFS('Asana Tasks'!$E$5:$E$151,A16,'Asana Tasks'!$G$5:$G$151,"Failed Inspection")</x:f>
        <x:v>0</x:v>
      </x:c>
      <x:c r="F16" s="18" t="n">
        <x:f>COUNTIFS('Asana Tasks'!$E$5:$E$151,A16,'Asana Tasks'!$G$5:$G$151,"Passed Inspection")+COUNTIFS('Asana Tasks'!$E$5:$E$151,A16,'Asana Tasks'!$G$5:$G$151,"Compliant Received")</x:f>
        <x:v>1</x:v>
      </x:c>
      <x:c r="G16" s="18" t="n">
        <x:f>COUNTIFS('Asana Tasks'!$E$5:$E$151,A16,'Asana Tasks'!$G$5:$G$151,"Quality Review!")</x:f>
        <x:v>0</x:v>
      </x:c>
      <x:c r="H16" s="18" t="n">
        <x:f>COUNTIFS('Asana Tasks'!$E$5:$E$151,A16,'Asana Tasks'!$G$5:$G$151,"No status")</x:f>
        <x:v>1</x:v>
      </x:c>
      <x:c r="I16" s="16" t="n">
        <x:f>IFERROR(C16/B16,0)</x:f>
        <x:v>1</x:v>
      </x:c>
    </x:row>
    <x:row r="17">
      <x:c r="A17" s="18" t="str">
        <x:v>2022-11</x:v>
      </x:c>
      <x:c r="B17" s="18" t="n">
        <x:f>COUNTIF('Asana Tasks'!$E$5:$E$151,A17)</x:f>
        <x:v>2</x:v>
      </x:c>
      <x:c r="C17" s="18" t="n">
        <x:f>COUNTIFS('Asana Tasks'!$E$5:$E$151,A17,'Asana Tasks'!$H$5:$H$151,"Yes")</x:f>
        <x:v>2</x:v>
      </x:c>
      <x:c r="D17" s="18" t="n">
        <x:f>B17-C17</x:f>
        <x:v>0</x:v>
      </x:c>
      <x:c r="E17" s="18" t="n">
        <x:f>COUNTIFS('Asana Tasks'!$E$5:$E$151,A17,'Asana Tasks'!$G$5:$G$151,"Failed Inspection")</x:f>
        <x:v>0</x:v>
      </x:c>
      <x:c r="F17" s="18" t="n">
        <x:f>COUNTIFS('Asana Tasks'!$E$5:$E$151,A17,'Asana Tasks'!$G$5:$G$151,"Passed Inspection")+COUNTIFS('Asana Tasks'!$E$5:$E$151,A17,'Asana Tasks'!$G$5:$G$151,"Compliant Received")</x:f>
        <x:v>0</x:v>
      </x:c>
      <x:c r="G17" s="18" t="n">
        <x:f>COUNTIFS('Asana Tasks'!$E$5:$E$151,A17,'Asana Tasks'!$G$5:$G$151,"Quality Review!")</x:f>
        <x:v>0</x:v>
      </x:c>
      <x:c r="H17" s="18" t="n">
        <x:f>COUNTIFS('Asana Tasks'!$E$5:$E$151,A17,'Asana Tasks'!$G$5:$G$151,"No status")</x:f>
        <x:v>2</x:v>
      </x:c>
      <x:c r="I17" s="16" t="n">
        <x:f>IFERROR(C17/B17,0)</x:f>
        <x:v>1</x:v>
      </x:c>
    </x:row>
    <x:row r="18">
      <x:c r="A18" s="18" t="str">
        <x:v>2022-12</x:v>
      </x:c>
      <x:c r="B18" s="18" t="n">
        <x:f>COUNTIF('Asana Tasks'!$E$5:$E$151,A18)</x:f>
        <x:v>2</x:v>
      </x:c>
      <x:c r="C18" s="18" t="n">
        <x:f>COUNTIFS('Asana Tasks'!$E$5:$E$151,A18,'Asana Tasks'!$H$5:$H$151,"Yes")</x:f>
        <x:v>2</x:v>
      </x:c>
      <x:c r="D18" s="18" t="n">
        <x:f>B18-C18</x:f>
        <x:v>0</x:v>
      </x:c>
      <x:c r="E18" s="18" t="n">
        <x:f>COUNTIFS('Asana Tasks'!$E$5:$E$151,A18,'Asana Tasks'!$G$5:$G$151,"Failed Inspection")</x:f>
        <x:v>0</x:v>
      </x:c>
      <x:c r="F18" s="18" t="n">
        <x:f>COUNTIFS('Asana Tasks'!$E$5:$E$151,A18,'Asana Tasks'!$G$5:$G$151,"Passed Inspection")+COUNTIFS('Asana Tasks'!$E$5:$E$151,A18,'Asana Tasks'!$G$5:$G$151,"Compliant Received")</x:f>
        <x:v>0</x:v>
      </x:c>
      <x:c r="G18" s="18" t="n">
        <x:f>COUNTIFS('Asana Tasks'!$E$5:$E$151,A18,'Asana Tasks'!$G$5:$G$151,"Quality Review!")</x:f>
        <x:v>0</x:v>
      </x:c>
      <x:c r="H18" s="18" t="n">
        <x:f>COUNTIFS('Asana Tasks'!$E$5:$E$151,A18,'Asana Tasks'!$G$5:$G$151,"No status")</x:f>
        <x:v>2</x:v>
      </x:c>
      <x:c r="I18" s="16" t="n">
        <x:f>IFERROR(C18/B18,0)</x:f>
        <x:v>1</x:v>
      </x:c>
    </x:row>
    <x:row r="19">
      <x:c r="A19" s="18" t="str">
        <x:v>2023-01</x:v>
      </x:c>
      <x:c r="B19" s="18" t="n">
        <x:f>COUNTIF('Asana Tasks'!$E$5:$E$151,A19)</x:f>
        <x:v>2</x:v>
      </x:c>
      <x:c r="C19" s="18" t="n">
        <x:f>COUNTIFS('Asana Tasks'!$E$5:$E$151,A19,'Asana Tasks'!$H$5:$H$151,"Yes")</x:f>
        <x:v>2</x:v>
      </x:c>
      <x:c r="D19" s="18" t="n">
        <x:f>B19-C19</x:f>
        <x:v>0</x:v>
      </x:c>
      <x:c r="E19" s="18" t="n">
        <x:f>COUNTIFS('Asana Tasks'!$E$5:$E$151,A19,'Asana Tasks'!$G$5:$G$151,"Failed Inspection")</x:f>
        <x:v>0</x:v>
      </x:c>
      <x:c r="F19" s="18" t="n">
        <x:f>COUNTIFS('Asana Tasks'!$E$5:$E$151,A19,'Asana Tasks'!$G$5:$G$151,"Passed Inspection")+COUNTIFS('Asana Tasks'!$E$5:$E$151,A19,'Asana Tasks'!$G$5:$G$151,"Compliant Received")</x:f>
        <x:v>0</x:v>
      </x:c>
      <x:c r="G19" s="18" t="n">
        <x:f>COUNTIFS('Asana Tasks'!$E$5:$E$151,A19,'Asana Tasks'!$G$5:$G$151,"Quality Review!")</x:f>
        <x:v>0</x:v>
      </x:c>
      <x:c r="H19" s="18" t="n">
        <x:f>COUNTIFS('Asana Tasks'!$E$5:$E$151,A19,'Asana Tasks'!$G$5:$G$151,"No status")</x:f>
        <x:v>2</x:v>
      </x:c>
      <x:c r="I19" s="16" t="n">
        <x:f>IFERROR(C19/B19,0)</x:f>
        <x:v>1</x:v>
      </x:c>
    </x:row>
    <x:row r="20">
      <x:c r="A20" s="18" t="str">
        <x:v>2023-02</x:v>
      </x:c>
      <x:c r="B20" s="18" t="n">
        <x:f>COUNTIF('Asana Tasks'!$E$5:$E$151,A20)</x:f>
        <x:v>2</x:v>
      </x:c>
      <x:c r="C20" s="18" t="n">
        <x:f>COUNTIFS('Asana Tasks'!$E$5:$E$151,A20,'Asana Tasks'!$H$5:$H$151,"Yes")</x:f>
        <x:v>2</x:v>
      </x:c>
      <x:c r="D20" s="18" t="n">
        <x:f>B20-C20</x:f>
        <x:v>0</x:v>
      </x:c>
      <x:c r="E20" s="18" t="n">
        <x:f>COUNTIFS('Asana Tasks'!$E$5:$E$151,A20,'Asana Tasks'!$G$5:$G$151,"Failed Inspection")</x:f>
        <x:v>0</x:v>
      </x:c>
      <x:c r="F20" s="18" t="n">
        <x:f>COUNTIFS('Asana Tasks'!$E$5:$E$151,A20,'Asana Tasks'!$G$5:$G$151,"Passed Inspection")+COUNTIFS('Asana Tasks'!$E$5:$E$151,A20,'Asana Tasks'!$G$5:$G$151,"Compliant Received")</x:f>
        <x:v>0</x:v>
      </x:c>
      <x:c r="G20" s="18" t="n">
        <x:f>COUNTIFS('Asana Tasks'!$E$5:$E$151,A20,'Asana Tasks'!$G$5:$G$151,"Quality Review!")</x:f>
        <x:v>0</x:v>
      </x:c>
      <x:c r="H20" s="18" t="n">
        <x:f>COUNTIFS('Asana Tasks'!$E$5:$E$151,A20,'Asana Tasks'!$G$5:$G$151,"No status")</x:f>
        <x:v>2</x:v>
      </x:c>
      <x:c r="I20" s="16" t="n">
        <x:f>IFERROR(C20/B20,0)</x:f>
        <x:v>1</x:v>
      </x:c>
    </x:row>
    <x:row r="21">
      <x:c r="A21" s="18" t="str">
        <x:v>2023-03</x:v>
      </x:c>
      <x:c r="B21" s="18" t="n">
        <x:f>COUNTIF('Asana Tasks'!$E$5:$E$151,A21)</x:f>
        <x:v>3</x:v>
      </x:c>
      <x:c r="C21" s="18" t="n">
        <x:f>COUNTIFS('Asana Tasks'!$E$5:$E$151,A21,'Asana Tasks'!$H$5:$H$151,"Yes")</x:f>
        <x:v>3</x:v>
      </x:c>
      <x:c r="D21" s="18" t="n">
        <x:f>B21-C21</x:f>
        <x:v>0</x:v>
      </x:c>
      <x:c r="E21" s="18" t="n">
        <x:f>COUNTIFS('Asana Tasks'!$E$5:$E$151,A21,'Asana Tasks'!$G$5:$G$151,"Failed Inspection")</x:f>
        <x:v>0</x:v>
      </x:c>
      <x:c r="F21" s="18" t="n">
        <x:f>COUNTIFS('Asana Tasks'!$E$5:$E$151,A21,'Asana Tasks'!$G$5:$G$151,"Passed Inspection")+COUNTIFS('Asana Tasks'!$E$5:$E$151,A21,'Asana Tasks'!$G$5:$G$151,"Compliant Received")</x:f>
        <x:v>0</x:v>
      </x:c>
      <x:c r="G21" s="18" t="n">
        <x:f>COUNTIFS('Asana Tasks'!$E$5:$E$151,A21,'Asana Tasks'!$G$5:$G$151,"Quality Review!")</x:f>
        <x:v>0</x:v>
      </x:c>
      <x:c r="H21" s="18" t="n">
        <x:f>COUNTIFS('Asana Tasks'!$E$5:$E$151,A21,'Asana Tasks'!$G$5:$G$151,"No status")</x:f>
        <x:v>3</x:v>
      </x:c>
      <x:c r="I21" s="16" t="n">
        <x:f>IFERROR(C21/B21,0)</x:f>
        <x:v>1</x:v>
      </x:c>
    </x:row>
    <x:row r="22">
      <x:c r="A22" s="18" t="str">
        <x:v>2023-04</x:v>
      </x:c>
      <x:c r="B22" s="18" t="n">
        <x:f>COUNTIF('Asana Tasks'!$E$5:$E$151,A22)</x:f>
        <x:v>2</x:v>
      </x:c>
      <x:c r="C22" s="18" t="n">
        <x:f>COUNTIFS('Asana Tasks'!$E$5:$E$151,A22,'Asana Tasks'!$H$5:$H$151,"Yes")</x:f>
        <x:v>2</x:v>
      </x:c>
      <x:c r="D22" s="18" t="n">
        <x:f>B22-C22</x:f>
        <x:v>0</x:v>
      </x:c>
      <x:c r="E22" s="18" t="n">
        <x:f>COUNTIFS('Asana Tasks'!$E$5:$E$151,A22,'Asana Tasks'!$G$5:$G$151,"Failed Inspection")</x:f>
        <x:v>0</x:v>
      </x:c>
      <x:c r="F22" s="18" t="n">
        <x:f>COUNTIFS('Asana Tasks'!$E$5:$E$151,A22,'Asana Tasks'!$G$5:$G$151,"Passed Inspection")+COUNTIFS('Asana Tasks'!$E$5:$E$151,A22,'Asana Tasks'!$G$5:$G$151,"Compliant Received")</x:f>
        <x:v>0</x:v>
      </x:c>
      <x:c r="G22" s="18" t="n">
        <x:f>COUNTIFS('Asana Tasks'!$E$5:$E$151,A22,'Asana Tasks'!$G$5:$G$151,"Quality Review!")</x:f>
        <x:v>0</x:v>
      </x:c>
      <x:c r="H22" s="18" t="n">
        <x:f>COUNTIFS('Asana Tasks'!$E$5:$E$151,A22,'Asana Tasks'!$G$5:$G$151,"No status")</x:f>
        <x:v>2</x:v>
      </x:c>
      <x:c r="I22" s="16" t="n">
        <x:f>IFERROR(C22/B22,0)</x:f>
        <x:v>1</x:v>
      </x:c>
    </x:row>
    <x:row r="23">
      <x:c r="A23" s="18" t="str">
        <x:v>2023-05</x:v>
      </x:c>
      <x:c r="B23" s="18" t="n">
        <x:f>COUNTIF('Asana Tasks'!$E$5:$E$151,A23)</x:f>
        <x:v>2</x:v>
      </x:c>
      <x:c r="C23" s="18" t="n">
        <x:f>COUNTIFS('Asana Tasks'!$E$5:$E$151,A23,'Asana Tasks'!$H$5:$H$151,"Yes")</x:f>
        <x:v>2</x:v>
      </x:c>
      <x:c r="D23" s="18" t="n">
        <x:f>B23-C23</x:f>
        <x:v>0</x:v>
      </x:c>
      <x:c r="E23" s="18" t="n">
        <x:f>COUNTIFS('Asana Tasks'!$E$5:$E$151,A23,'Asana Tasks'!$G$5:$G$151,"Failed Inspection")</x:f>
        <x:v>0</x:v>
      </x:c>
      <x:c r="F23" s="18" t="n">
        <x:f>COUNTIFS('Asana Tasks'!$E$5:$E$151,A23,'Asana Tasks'!$G$5:$G$151,"Passed Inspection")+COUNTIFS('Asana Tasks'!$E$5:$E$151,A23,'Asana Tasks'!$G$5:$G$151,"Compliant Received")</x:f>
        <x:v>0</x:v>
      </x:c>
      <x:c r="G23" s="18" t="n">
        <x:f>COUNTIFS('Asana Tasks'!$E$5:$E$151,A23,'Asana Tasks'!$G$5:$G$151,"Quality Review!")</x:f>
        <x:v>0</x:v>
      </x:c>
      <x:c r="H23" s="18" t="n">
        <x:f>COUNTIFS('Asana Tasks'!$E$5:$E$151,A23,'Asana Tasks'!$G$5:$G$151,"No status")</x:f>
        <x:v>2</x:v>
      </x:c>
      <x:c r="I23" s="16" t="n">
        <x:f>IFERROR(C23/B23,0)</x:f>
        <x:v>1</x:v>
      </x:c>
    </x:row>
    <x:row r="24">
      <x:c r="A24" s="18" t="str">
        <x:v>2023-06</x:v>
      </x:c>
      <x:c r="B24" s="18" t="n">
        <x:f>COUNTIF('Asana Tasks'!$E$5:$E$151,A24)</x:f>
        <x:v>2</x:v>
      </x:c>
      <x:c r="C24" s="18" t="n">
        <x:f>COUNTIFS('Asana Tasks'!$E$5:$E$151,A24,'Asana Tasks'!$H$5:$H$151,"Yes")</x:f>
        <x:v>2</x:v>
      </x:c>
      <x:c r="D24" s="18" t="n">
        <x:f>B24-C24</x:f>
        <x:v>0</x:v>
      </x:c>
      <x:c r="E24" s="18" t="n">
        <x:f>COUNTIFS('Asana Tasks'!$E$5:$E$151,A24,'Asana Tasks'!$G$5:$G$151,"Failed Inspection")</x:f>
        <x:v>0</x:v>
      </x:c>
      <x:c r="F24" s="18" t="n">
        <x:f>COUNTIFS('Asana Tasks'!$E$5:$E$151,A24,'Asana Tasks'!$G$5:$G$151,"Passed Inspection")+COUNTIFS('Asana Tasks'!$E$5:$E$151,A24,'Asana Tasks'!$G$5:$G$151,"Compliant Received")</x:f>
        <x:v>0</x:v>
      </x:c>
      <x:c r="G24" s="18" t="n">
        <x:f>COUNTIFS('Asana Tasks'!$E$5:$E$151,A24,'Asana Tasks'!$G$5:$G$151,"Quality Review!")</x:f>
        <x:v>0</x:v>
      </x:c>
      <x:c r="H24" s="18" t="n">
        <x:f>COUNTIFS('Asana Tasks'!$E$5:$E$151,A24,'Asana Tasks'!$G$5:$G$151,"No status")</x:f>
        <x:v>2</x:v>
      </x:c>
      <x:c r="I24" s="16" t="n">
        <x:f>IFERROR(C24/B24,0)</x:f>
        <x:v>1</x:v>
      </x:c>
    </x:row>
    <x:row r="25">
      <x:c r="A25" s="18" t="str">
        <x:v>2023-07</x:v>
      </x:c>
      <x:c r="B25" s="18" t="n">
        <x:f>COUNTIF('Asana Tasks'!$E$5:$E$151,A25)</x:f>
        <x:v>3</x:v>
      </x:c>
      <x:c r="C25" s="18" t="n">
        <x:f>COUNTIFS('Asana Tasks'!$E$5:$E$151,A25,'Asana Tasks'!$H$5:$H$151,"Yes")</x:f>
        <x:v>3</x:v>
      </x:c>
      <x:c r="D25" s="18" t="n">
        <x:f>B25-C25</x:f>
        <x:v>0</x:v>
      </x:c>
      <x:c r="E25" s="18" t="n">
        <x:f>COUNTIFS('Asana Tasks'!$E$5:$E$151,A25,'Asana Tasks'!$G$5:$G$151,"Failed Inspection")</x:f>
        <x:v>1</x:v>
      </x:c>
      <x:c r="F25" s="18" t="n">
        <x:f>COUNTIFS('Asana Tasks'!$E$5:$E$151,A25,'Asana Tasks'!$G$5:$G$151,"Passed Inspection")+COUNTIFS('Asana Tasks'!$E$5:$E$151,A25,'Asana Tasks'!$G$5:$G$151,"Compliant Received")</x:f>
        <x:v>0</x:v>
      </x:c>
      <x:c r="G25" s="18" t="n">
        <x:f>COUNTIFS('Asana Tasks'!$E$5:$E$151,A25,'Asana Tasks'!$G$5:$G$151,"Quality Review!")</x:f>
        <x:v>0</x:v>
      </x:c>
      <x:c r="H25" s="18" t="n">
        <x:f>COUNTIFS('Asana Tasks'!$E$5:$E$151,A25,'Asana Tasks'!$G$5:$G$151,"No status")</x:f>
        <x:v>2</x:v>
      </x:c>
      <x:c r="I25" s="16" t="n">
        <x:f>IFERROR(C25/B25,0)</x:f>
        <x:v>1</x:v>
      </x:c>
    </x:row>
    <x:row r="26">
      <x:c r="A26" s="18" t="str">
        <x:v>2023-08</x:v>
      </x:c>
      <x:c r="B26" s="18" t="n">
        <x:f>COUNTIF('Asana Tasks'!$E$5:$E$151,A26)</x:f>
        <x:v>2</x:v>
      </x:c>
      <x:c r="C26" s="18" t="n">
        <x:f>COUNTIFS('Asana Tasks'!$E$5:$E$151,A26,'Asana Tasks'!$H$5:$H$151,"Yes")</x:f>
        <x:v>2</x:v>
      </x:c>
      <x:c r="D26" s="18" t="n">
        <x:f>B26-C26</x:f>
        <x:v>0</x:v>
      </x:c>
      <x:c r="E26" s="18" t="n">
        <x:f>COUNTIFS('Asana Tasks'!$E$5:$E$151,A26,'Asana Tasks'!$G$5:$G$151,"Failed Inspection")</x:f>
        <x:v>0</x:v>
      </x:c>
      <x:c r="F26" s="18" t="n">
        <x:f>COUNTIFS('Asana Tasks'!$E$5:$E$151,A26,'Asana Tasks'!$G$5:$G$151,"Passed Inspection")+COUNTIFS('Asana Tasks'!$E$5:$E$151,A26,'Asana Tasks'!$G$5:$G$151,"Compliant Received")</x:f>
        <x:v>0</x:v>
      </x:c>
      <x:c r="G26" s="18" t="n">
        <x:f>COUNTIFS('Asana Tasks'!$E$5:$E$151,A26,'Asana Tasks'!$G$5:$G$151,"Quality Review!")</x:f>
        <x:v>0</x:v>
      </x:c>
      <x:c r="H26" s="18" t="n">
        <x:f>COUNTIFS('Asana Tasks'!$E$5:$E$151,A26,'Asana Tasks'!$G$5:$G$151,"No status")</x:f>
        <x:v>2</x:v>
      </x:c>
      <x:c r="I26" s="16" t="n">
        <x:f>IFERROR(C26/B26,0)</x:f>
        <x:v>1</x:v>
      </x:c>
    </x:row>
    <x:row r="27">
      <x:c r="A27" s="18" t="str">
        <x:v>2023-09</x:v>
      </x:c>
      <x:c r="B27" s="18" t="n">
        <x:f>COUNTIF('Asana Tasks'!$E$5:$E$151,A27)</x:f>
        <x:v>3</x:v>
      </x:c>
      <x:c r="C27" s="18" t="n">
        <x:f>COUNTIFS('Asana Tasks'!$E$5:$E$151,A27,'Asana Tasks'!$H$5:$H$151,"Yes")</x:f>
        <x:v>3</x:v>
      </x:c>
      <x:c r="D27" s="18" t="n">
        <x:f>B27-C27</x:f>
        <x:v>0</x:v>
      </x:c>
      <x:c r="E27" s="18" t="n">
        <x:f>COUNTIFS('Asana Tasks'!$E$5:$E$151,A27,'Asana Tasks'!$G$5:$G$151,"Failed Inspection")</x:f>
        <x:v>0</x:v>
      </x:c>
      <x:c r="F27" s="18" t="n">
        <x:f>COUNTIFS('Asana Tasks'!$E$5:$E$151,A27,'Asana Tasks'!$G$5:$G$151,"Passed Inspection")+COUNTIFS('Asana Tasks'!$E$5:$E$151,A27,'Asana Tasks'!$G$5:$G$151,"Compliant Received")</x:f>
        <x:v>0</x:v>
      </x:c>
      <x:c r="G27" s="18" t="n">
        <x:f>COUNTIFS('Asana Tasks'!$E$5:$E$151,A27,'Asana Tasks'!$G$5:$G$151,"Quality Review!")</x:f>
        <x:v>0</x:v>
      </x:c>
      <x:c r="H27" s="18" t="n">
        <x:f>COUNTIFS('Asana Tasks'!$E$5:$E$151,A27,'Asana Tasks'!$G$5:$G$151,"No status")</x:f>
        <x:v>3</x:v>
      </x:c>
      <x:c r="I27" s="16" t="n">
        <x:f>IFERROR(C27/B27,0)</x:f>
        <x:v>1</x:v>
      </x:c>
    </x:row>
    <x:row r="28">
      <x:c r="A28" s="18" t="str">
        <x:v>2023-10</x:v>
      </x:c>
      <x:c r="B28" s="18" t="n">
        <x:f>COUNTIF('Asana Tasks'!$E$5:$E$151,A28)</x:f>
        <x:v>2</x:v>
      </x:c>
      <x:c r="C28" s="18" t="n">
        <x:f>COUNTIFS('Asana Tasks'!$E$5:$E$151,A28,'Asana Tasks'!$H$5:$H$151,"Yes")</x:f>
        <x:v>2</x:v>
      </x:c>
      <x:c r="D28" s="18" t="n">
        <x:f>B28-C28</x:f>
        <x:v>0</x:v>
      </x:c>
      <x:c r="E28" s="18" t="n">
        <x:f>COUNTIFS('Asana Tasks'!$E$5:$E$151,A28,'Asana Tasks'!$G$5:$G$151,"Failed Inspection")</x:f>
        <x:v>0</x:v>
      </x:c>
      <x:c r="F28" s="18" t="n">
        <x:f>COUNTIFS('Asana Tasks'!$E$5:$E$151,A28,'Asana Tasks'!$G$5:$G$151,"Passed Inspection")+COUNTIFS('Asana Tasks'!$E$5:$E$151,A28,'Asana Tasks'!$G$5:$G$151,"Compliant Received")</x:f>
        <x:v>0</x:v>
      </x:c>
      <x:c r="G28" s="18" t="n">
        <x:f>COUNTIFS('Asana Tasks'!$E$5:$E$151,A28,'Asana Tasks'!$G$5:$G$151,"Quality Review!")</x:f>
        <x:v>0</x:v>
      </x:c>
      <x:c r="H28" s="18" t="n">
        <x:f>COUNTIFS('Asana Tasks'!$E$5:$E$151,A28,'Asana Tasks'!$G$5:$G$151,"No status")</x:f>
        <x:v>2</x:v>
      </x:c>
      <x:c r="I28" s="16" t="n">
        <x:f>IFERROR(C28/B28,0)</x:f>
        <x:v>1</x:v>
      </x:c>
    </x:row>
    <x:row r="29">
      <x:c r="A29" s="18" t="str">
        <x:v>2023-11</x:v>
      </x:c>
      <x:c r="B29" s="18" t="n">
        <x:f>COUNTIF('Asana Tasks'!$E$5:$E$151,A29)</x:f>
        <x:v>2</x:v>
      </x:c>
      <x:c r="C29" s="18" t="n">
        <x:f>COUNTIFS('Asana Tasks'!$E$5:$E$151,A29,'Asana Tasks'!$H$5:$H$151,"Yes")</x:f>
        <x:v>2</x:v>
      </x:c>
      <x:c r="D29" s="18" t="n">
        <x:f>B29-C29</x:f>
        <x:v>0</x:v>
      </x:c>
      <x:c r="E29" s="18" t="n">
        <x:f>COUNTIFS('Asana Tasks'!$E$5:$E$151,A29,'Asana Tasks'!$G$5:$G$151,"Failed Inspection")</x:f>
        <x:v>0</x:v>
      </x:c>
      <x:c r="F29" s="18" t="n">
        <x:f>COUNTIFS('Asana Tasks'!$E$5:$E$151,A29,'Asana Tasks'!$G$5:$G$151,"Passed Inspection")+COUNTIFS('Asana Tasks'!$E$5:$E$151,A29,'Asana Tasks'!$G$5:$G$151,"Compliant Received")</x:f>
        <x:v>0</x:v>
      </x:c>
      <x:c r="G29" s="18" t="n">
        <x:f>COUNTIFS('Asana Tasks'!$E$5:$E$151,A29,'Asana Tasks'!$G$5:$G$151,"Quality Review!")</x:f>
        <x:v>0</x:v>
      </x:c>
      <x:c r="H29" s="18" t="n">
        <x:f>COUNTIFS('Asana Tasks'!$E$5:$E$151,A29,'Asana Tasks'!$G$5:$G$151,"No status")</x:f>
        <x:v>2</x:v>
      </x:c>
      <x:c r="I29" s="16" t="n">
        <x:f>IFERROR(C29/B29,0)</x:f>
        <x:v>1</x:v>
      </x:c>
    </x:row>
    <x:row r="30">
      <x:c r="A30" s="18" t="str">
        <x:v>2023-12</x:v>
      </x:c>
      <x:c r="B30" s="18" t="n">
        <x:f>COUNTIF('Asana Tasks'!$E$5:$E$151,A30)</x:f>
        <x:v>2</x:v>
      </x:c>
      <x:c r="C30" s="18" t="n">
        <x:f>COUNTIFS('Asana Tasks'!$E$5:$E$151,A30,'Asana Tasks'!$H$5:$H$151,"Yes")</x:f>
        <x:v>2</x:v>
      </x:c>
      <x:c r="D30" s="18" t="n">
        <x:f>B30-C30</x:f>
        <x:v>0</x:v>
      </x:c>
      <x:c r="E30" s="18" t="n">
        <x:f>COUNTIFS('Asana Tasks'!$E$5:$E$151,A30,'Asana Tasks'!$G$5:$G$151,"Failed Inspection")</x:f>
        <x:v>0</x:v>
      </x:c>
      <x:c r="F30" s="18" t="n">
        <x:f>COUNTIFS('Asana Tasks'!$E$5:$E$151,A30,'Asana Tasks'!$G$5:$G$151,"Passed Inspection")+COUNTIFS('Asana Tasks'!$E$5:$E$151,A30,'Asana Tasks'!$G$5:$G$151,"Compliant Received")</x:f>
        <x:v>0</x:v>
      </x:c>
      <x:c r="G30" s="18" t="n">
        <x:f>COUNTIFS('Asana Tasks'!$E$5:$E$151,A30,'Asana Tasks'!$G$5:$G$151,"Quality Review!")</x:f>
        <x:v>0</x:v>
      </x:c>
      <x:c r="H30" s="18" t="n">
        <x:f>COUNTIFS('Asana Tasks'!$E$5:$E$151,A30,'Asana Tasks'!$G$5:$G$151,"No status")</x:f>
        <x:v>2</x:v>
      </x:c>
      <x:c r="I30" s="16" t="n">
        <x:f>IFERROR(C30/B30,0)</x:f>
        <x:v>1</x:v>
      </x:c>
    </x:row>
    <x:row r="31">
      <x:c r="A31" s="18" t="str">
        <x:v>2024-01</x:v>
      </x:c>
      <x:c r="B31" s="18" t="n">
        <x:f>COUNTIF('Asana Tasks'!$E$5:$E$151,A31)</x:f>
        <x:v>2</x:v>
      </x:c>
      <x:c r="C31" s="18" t="n">
        <x:f>COUNTIFS('Asana Tasks'!$E$5:$E$151,A31,'Asana Tasks'!$H$5:$H$151,"Yes")</x:f>
        <x:v>2</x:v>
      </x:c>
      <x:c r="D31" s="18" t="n">
        <x:f>B31-C31</x:f>
        <x:v>0</x:v>
      </x:c>
      <x:c r="E31" s="18" t="n">
        <x:f>COUNTIFS('Asana Tasks'!$E$5:$E$151,A31,'Asana Tasks'!$G$5:$G$151,"Failed Inspection")</x:f>
        <x:v>0</x:v>
      </x:c>
      <x:c r="F31" s="18" t="n">
        <x:f>COUNTIFS('Asana Tasks'!$E$5:$E$151,A31,'Asana Tasks'!$G$5:$G$151,"Passed Inspection")+COUNTIFS('Asana Tasks'!$E$5:$E$151,A31,'Asana Tasks'!$G$5:$G$151,"Compliant Received")</x:f>
        <x:v>0</x:v>
      </x:c>
      <x:c r="G31" s="18" t="n">
        <x:f>COUNTIFS('Asana Tasks'!$E$5:$E$151,A31,'Asana Tasks'!$G$5:$G$151,"Quality Review!")</x:f>
        <x:v>0</x:v>
      </x:c>
      <x:c r="H31" s="18" t="n">
        <x:f>COUNTIFS('Asana Tasks'!$E$5:$E$151,A31,'Asana Tasks'!$G$5:$G$151,"No status")</x:f>
        <x:v>2</x:v>
      </x:c>
      <x:c r="I31" s="16" t="n">
        <x:f>IFERROR(C31/B31,0)</x:f>
        <x:v>1</x:v>
      </x:c>
    </x:row>
    <x:row r="32">
      <x:c r="A32" s="18" t="str">
        <x:v>2024-02</x:v>
      </x:c>
      <x:c r="B32" s="18" t="n">
        <x:f>COUNTIF('Asana Tasks'!$E$5:$E$151,A32)</x:f>
        <x:v>3</x:v>
      </x:c>
      <x:c r="C32" s="18" t="n">
        <x:f>COUNTIFS('Asana Tasks'!$E$5:$E$151,A32,'Asana Tasks'!$H$5:$H$151,"Yes")</x:f>
        <x:v>3</x:v>
      </x:c>
      <x:c r="D32" s="18" t="n">
        <x:f>B32-C32</x:f>
        <x:v>0</x:v>
      </x:c>
      <x:c r="E32" s="18" t="n">
        <x:f>COUNTIFS('Asana Tasks'!$E$5:$E$151,A32,'Asana Tasks'!$G$5:$G$151,"Failed Inspection")</x:f>
        <x:v>0</x:v>
      </x:c>
      <x:c r="F32" s="18" t="n">
        <x:f>COUNTIFS('Asana Tasks'!$E$5:$E$151,A32,'Asana Tasks'!$G$5:$G$151,"Passed Inspection")+COUNTIFS('Asana Tasks'!$E$5:$E$151,A32,'Asana Tasks'!$G$5:$G$151,"Compliant Received")</x:f>
        <x:v>1</x:v>
      </x:c>
      <x:c r="G32" s="18" t="n">
        <x:f>COUNTIFS('Asana Tasks'!$E$5:$E$151,A32,'Asana Tasks'!$G$5:$G$151,"Quality Review!")</x:f>
        <x:v>0</x:v>
      </x:c>
      <x:c r="H32" s="18" t="n">
        <x:f>COUNTIFS('Asana Tasks'!$E$5:$E$151,A32,'Asana Tasks'!$G$5:$G$151,"No status")</x:f>
        <x:v>2</x:v>
      </x:c>
      <x:c r="I32" s="16" t="n">
        <x:f>IFERROR(C32/B32,0)</x:f>
        <x:v>1</x:v>
      </x:c>
    </x:row>
    <x:row r="33">
      <x:c r="A33" s="18" t="str">
        <x:v>2024-03</x:v>
      </x:c>
      <x:c r="B33" s="18" t="n">
        <x:f>COUNTIF('Asana Tasks'!$E$5:$E$151,A33)</x:f>
        <x:v>3</x:v>
      </x:c>
      <x:c r="C33" s="18" t="n">
        <x:f>COUNTIFS('Asana Tasks'!$E$5:$E$151,A33,'Asana Tasks'!$H$5:$H$151,"Yes")</x:f>
        <x:v>3</x:v>
      </x:c>
      <x:c r="D33" s="18" t="n">
        <x:f>B33-C33</x:f>
        <x:v>0</x:v>
      </x:c>
      <x:c r="E33" s="18" t="n">
        <x:f>COUNTIFS('Asana Tasks'!$E$5:$E$151,A33,'Asana Tasks'!$G$5:$G$151,"Failed Inspection")</x:f>
        <x:v>0</x:v>
      </x:c>
      <x:c r="F33" s="18" t="n">
        <x:f>COUNTIFS('Asana Tasks'!$E$5:$E$151,A33,'Asana Tasks'!$G$5:$G$151,"Passed Inspection")+COUNTIFS('Asana Tasks'!$E$5:$E$151,A33,'Asana Tasks'!$G$5:$G$151,"Compliant Received")</x:f>
        <x:v>0</x:v>
      </x:c>
      <x:c r="G33" s="18" t="n">
        <x:f>COUNTIFS('Asana Tasks'!$E$5:$E$151,A33,'Asana Tasks'!$G$5:$G$151,"Quality Review!")</x:f>
        <x:v>0</x:v>
      </x:c>
      <x:c r="H33" s="18" t="n">
        <x:f>COUNTIFS('Asana Tasks'!$E$5:$E$151,A33,'Asana Tasks'!$G$5:$G$151,"No status")</x:f>
        <x:v>3</x:v>
      </x:c>
      <x:c r="I33" s="16" t="n">
        <x:f>IFERROR(C33/B33,0)</x:f>
        <x:v>1</x:v>
      </x:c>
    </x:row>
    <x:row r="34">
      <x:c r="A34" s="18" t="str">
        <x:v>2024-04</x:v>
      </x:c>
      <x:c r="B34" s="18" t="n">
        <x:f>COUNTIF('Asana Tasks'!$E$5:$E$151,A34)</x:f>
        <x:v>3</x:v>
      </x:c>
      <x:c r="C34" s="18" t="n">
        <x:f>COUNTIFS('Asana Tasks'!$E$5:$E$151,A34,'Asana Tasks'!$H$5:$H$151,"Yes")</x:f>
        <x:v>3</x:v>
      </x:c>
      <x:c r="D34" s="18" t="n">
        <x:f>B34-C34</x:f>
        <x:v>0</x:v>
      </x:c>
      <x:c r="E34" s="18" t="n">
        <x:f>COUNTIFS('Asana Tasks'!$E$5:$E$151,A34,'Asana Tasks'!$G$5:$G$151,"Failed Inspection")</x:f>
        <x:v>0</x:v>
      </x:c>
      <x:c r="F34" s="18" t="n">
        <x:f>COUNTIFS('Asana Tasks'!$E$5:$E$151,A34,'Asana Tasks'!$G$5:$G$151,"Passed Inspection")+COUNTIFS('Asana Tasks'!$E$5:$E$151,A34,'Asana Tasks'!$G$5:$G$151,"Compliant Received")</x:f>
        <x:v>0</x:v>
      </x:c>
      <x:c r="G34" s="18" t="n">
        <x:f>COUNTIFS('Asana Tasks'!$E$5:$E$151,A34,'Asana Tasks'!$G$5:$G$151,"Quality Review!")</x:f>
        <x:v>1</x:v>
      </x:c>
      <x:c r="H34" s="18" t="n">
        <x:f>COUNTIFS('Asana Tasks'!$E$5:$E$151,A34,'Asana Tasks'!$G$5:$G$151,"No status")</x:f>
        <x:v>2</x:v>
      </x:c>
      <x:c r="I34" s="16" t="n">
        <x:f>IFERROR(C34/B34,0)</x:f>
        <x:v>1</x:v>
      </x:c>
    </x:row>
    <x:row r="35">
      <x:c r="A35" s="18" t="str">
        <x:v>2024-05</x:v>
      </x:c>
      <x:c r="B35" s="18" t="n">
        <x:f>COUNTIF('Asana Tasks'!$E$5:$E$151,A35)</x:f>
        <x:v>2</x:v>
      </x:c>
      <x:c r="C35" s="18" t="n">
        <x:f>COUNTIFS('Asana Tasks'!$E$5:$E$151,A35,'Asana Tasks'!$H$5:$H$151,"Yes")</x:f>
        <x:v>2</x:v>
      </x:c>
      <x:c r="D35" s="18" t="n">
        <x:f>B35-C35</x:f>
        <x:v>0</x:v>
      </x:c>
      <x:c r="E35" s="18" t="n">
        <x:f>COUNTIFS('Asana Tasks'!$E$5:$E$151,A35,'Asana Tasks'!$G$5:$G$151,"Failed Inspection")</x:f>
        <x:v>0</x:v>
      </x:c>
      <x:c r="F35" s="18" t="n">
        <x:f>COUNTIFS('Asana Tasks'!$E$5:$E$151,A35,'Asana Tasks'!$G$5:$G$151,"Passed Inspection")+COUNTIFS('Asana Tasks'!$E$5:$E$151,A35,'Asana Tasks'!$G$5:$G$151,"Compliant Received")</x:f>
        <x:v>0</x:v>
      </x:c>
      <x:c r="G35" s="18" t="n">
        <x:f>COUNTIFS('Asana Tasks'!$E$5:$E$151,A35,'Asana Tasks'!$G$5:$G$151,"Quality Review!")</x:f>
        <x:v>0</x:v>
      </x:c>
      <x:c r="H35" s="18" t="n">
        <x:f>COUNTIFS('Asana Tasks'!$E$5:$E$151,A35,'Asana Tasks'!$G$5:$G$151,"No status")</x:f>
        <x:v>2</x:v>
      </x:c>
      <x:c r="I35" s="16" t="n">
        <x:f>IFERROR(C35/B35,0)</x:f>
        <x:v>1</x:v>
      </x:c>
    </x:row>
    <x:row r="36">
      <x:c r="A36" s="18" t="str">
        <x:v>2024-06</x:v>
      </x:c>
      <x:c r="B36" s="18" t="n">
        <x:f>COUNTIF('Asana Tasks'!$E$5:$E$151,A36)</x:f>
        <x:v>2</x:v>
      </x:c>
      <x:c r="C36" s="18" t="n">
        <x:f>COUNTIFS('Asana Tasks'!$E$5:$E$151,A36,'Asana Tasks'!$H$5:$H$151,"Yes")</x:f>
        <x:v>2</x:v>
      </x:c>
      <x:c r="D36" s="18" t="n">
        <x:f>B36-C36</x:f>
        <x:v>0</x:v>
      </x:c>
      <x:c r="E36" s="18" t="n">
        <x:f>COUNTIFS('Asana Tasks'!$E$5:$E$151,A36,'Asana Tasks'!$G$5:$G$151,"Failed Inspection")</x:f>
        <x:v>0</x:v>
      </x:c>
      <x:c r="F36" s="18" t="n">
        <x:f>COUNTIFS('Asana Tasks'!$E$5:$E$151,A36,'Asana Tasks'!$G$5:$G$151,"Passed Inspection")+COUNTIFS('Asana Tasks'!$E$5:$E$151,A36,'Asana Tasks'!$G$5:$G$151,"Compliant Received")</x:f>
        <x:v>0</x:v>
      </x:c>
      <x:c r="G36" s="18" t="n">
        <x:f>COUNTIFS('Asana Tasks'!$E$5:$E$151,A36,'Asana Tasks'!$G$5:$G$151,"Quality Review!")</x:f>
        <x:v>0</x:v>
      </x:c>
      <x:c r="H36" s="18" t="n">
        <x:f>COUNTIFS('Asana Tasks'!$E$5:$E$151,A36,'Asana Tasks'!$G$5:$G$151,"No status")</x:f>
        <x:v>2</x:v>
      </x:c>
      <x:c r="I36" s="16" t="n">
        <x:f>IFERROR(C36/B36,0)</x:f>
        <x:v>1</x:v>
      </x:c>
    </x:row>
    <x:row r="37">
      <x:c r="A37" s="18" t="str">
        <x:v>2024-07</x:v>
      </x:c>
      <x:c r="B37" s="18" t="n">
        <x:f>COUNTIF('Asana Tasks'!$E$5:$E$151,A37)</x:f>
        <x:v>1</x:v>
      </x:c>
      <x:c r="C37" s="18" t="n">
        <x:f>COUNTIFS('Asana Tasks'!$E$5:$E$151,A37,'Asana Tasks'!$H$5:$H$151,"Yes")</x:f>
        <x:v>1</x:v>
      </x:c>
      <x:c r="D37" s="18" t="n">
        <x:f>B37-C37</x:f>
        <x:v>0</x:v>
      </x:c>
      <x:c r="E37" s="18" t="n">
        <x:f>COUNTIFS('Asana Tasks'!$E$5:$E$151,A37,'Asana Tasks'!$G$5:$G$151,"Failed Inspection")</x:f>
        <x:v>0</x:v>
      </x:c>
      <x:c r="F37" s="18" t="n">
        <x:f>COUNTIFS('Asana Tasks'!$E$5:$E$151,A37,'Asana Tasks'!$G$5:$G$151,"Passed Inspection")+COUNTIFS('Asana Tasks'!$E$5:$E$151,A37,'Asana Tasks'!$G$5:$G$151,"Compliant Received")</x:f>
        <x:v>0</x:v>
      </x:c>
      <x:c r="G37" s="18" t="n">
        <x:f>COUNTIFS('Asana Tasks'!$E$5:$E$151,A37,'Asana Tasks'!$G$5:$G$151,"Quality Review!")</x:f>
        <x:v>0</x:v>
      </x:c>
      <x:c r="H37" s="18" t="n">
        <x:f>COUNTIFS('Asana Tasks'!$E$5:$E$151,A37,'Asana Tasks'!$G$5:$G$151,"No status")</x:f>
        <x:v>1</x:v>
      </x:c>
      <x:c r="I37" s="16" t="n">
        <x:f>IFERROR(C37/B37,0)</x:f>
        <x:v>1</x:v>
      </x:c>
    </x:row>
    <x:row r="38">
      <x:c r="A38" s="18" t="str">
        <x:v>2024-09</x:v>
      </x:c>
      <x:c r="B38" s="18" t="n">
        <x:f>COUNTIF('Asana Tasks'!$E$5:$E$151,A38)</x:f>
        <x:v>4</x:v>
      </x:c>
      <x:c r="C38" s="18" t="n">
        <x:f>COUNTIFS('Asana Tasks'!$E$5:$E$151,A38,'Asana Tasks'!$H$5:$H$151,"Yes")</x:f>
        <x:v>1</x:v>
      </x:c>
      <x:c r="D38" s="18" t="n">
        <x:f>B38-C38</x:f>
        <x:v>3</x:v>
      </x:c>
      <x:c r="E38" s="18" t="n">
        <x:f>COUNTIFS('Asana Tasks'!$E$5:$E$151,A38,'Asana Tasks'!$G$5:$G$151,"Failed Inspection")</x:f>
        <x:v>3</x:v>
      </x:c>
      <x:c r="F38" s="18" t="n">
        <x:f>COUNTIFS('Asana Tasks'!$E$5:$E$151,A38,'Asana Tasks'!$G$5:$G$151,"Passed Inspection")+COUNTIFS('Asana Tasks'!$E$5:$E$151,A38,'Asana Tasks'!$G$5:$G$151,"Compliant Received")</x:f>
        <x:v>0</x:v>
      </x:c>
      <x:c r="G38" s="18" t="n">
        <x:f>COUNTIFS('Asana Tasks'!$E$5:$E$151,A38,'Asana Tasks'!$G$5:$G$151,"Quality Review!")</x:f>
        <x:v>1</x:v>
      </x:c>
      <x:c r="H38" s="18" t="n">
        <x:f>COUNTIFS('Asana Tasks'!$E$5:$E$151,A38,'Asana Tasks'!$G$5:$G$151,"No status")</x:f>
        <x:v>0</x:v>
      </x:c>
      <x:c r="I38" s="16" t="n">
        <x:f>IFERROR(C38/B38,0)</x:f>
        <x:v>0.25</x:v>
      </x:c>
    </x:row>
    <x:row r="39">
      <x:c r="A39" s="18" t="str">
        <x:v>2024-10</x:v>
      </x:c>
      <x:c r="B39" s="18" t="n">
        <x:f>COUNTIF('Asana Tasks'!$E$5:$E$151,A39)</x:f>
        <x:v>1</x:v>
      </x:c>
      <x:c r="C39" s="18" t="n">
        <x:f>COUNTIFS('Asana Tasks'!$E$5:$E$151,A39,'Asana Tasks'!$H$5:$H$151,"Yes")</x:f>
        <x:v>0</x:v>
      </x:c>
      <x:c r="D39" s="18" t="n">
        <x:f>B39-C39</x:f>
        <x:v>1</x:v>
      </x:c>
      <x:c r="E39" s="18" t="n">
        <x:f>COUNTIFS('Asana Tasks'!$E$5:$E$151,A39,'Asana Tasks'!$G$5:$G$151,"Failed Inspection")</x:f>
        <x:v>1</x:v>
      </x:c>
      <x:c r="F39" s="18" t="n">
        <x:f>COUNTIFS('Asana Tasks'!$E$5:$E$151,A39,'Asana Tasks'!$G$5:$G$151,"Passed Inspection")+COUNTIFS('Asana Tasks'!$E$5:$E$151,A39,'Asana Tasks'!$G$5:$G$151,"Compliant Received")</x:f>
        <x:v>0</x:v>
      </x:c>
      <x:c r="G39" s="18" t="n">
        <x:f>COUNTIFS('Asana Tasks'!$E$5:$E$151,A39,'Asana Tasks'!$G$5:$G$151,"Quality Review!")</x:f>
        <x:v>0</x:v>
      </x:c>
      <x:c r="H39" s="18" t="n">
        <x:f>COUNTIFS('Asana Tasks'!$E$5:$E$151,A39,'Asana Tasks'!$G$5:$G$151,"No status")</x:f>
        <x:v>0</x:v>
      </x:c>
      <x:c r="I39" s="16" t="n">
        <x:f>IFERROR(C39/B39,0)</x:f>
        <x:v>0</x:v>
      </x:c>
    </x:row>
    <x:row r="40">
      <x:c r="A40" s="18" t="str">
        <x:v>2024-11</x:v>
      </x:c>
      <x:c r="B40" s="18" t="n">
        <x:f>COUNTIF('Asana Tasks'!$E$5:$E$151,A40)</x:f>
        <x:v>4</x:v>
      </x:c>
      <x:c r="C40" s="18" t="n">
        <x:f>COUNTIFS('Asana Tasks'!$E$5:$E$151,A40,'Asana Tasks'!$H$5:$H$151,"Yes")</x:f>
        <x:v>3</x:v>
      </x:c>
      <x:c r="D40" s="18" t="n">
        <x:f>B40-C40</x:f>
        <x:v>1</x:v>
      </x:c>
      <x:c r="E40" s="18" t="n">
        <x:f>COUNTIFS('Asana Tasks'!$E$5:$E$151,A40,'Asana Tasks'!$G$5:$G$151,"Failed Inspection")</x:f>
        <x:v>1</x:v>
      </x:c>
      <x:c r="F40" s="18" t="n">
        <x:f>COUNTIFS('Asana Tasks'!$E$5:$E$151,A40,'Asana Tasks'!$G$5:$G$151,"Passed Inspection")+COUNTIFS('Asana Tasks'!$E$5:$E$151,A40,'Asana Tasks'!$G$5:$G$151,"Compliant Received")</x:f>
        <x:v>2</x:v>
      </x:c>
      <x:c r="G40" s="18" t="n">
        <x:f>COUNTIFS('Asana Tasks'!$E$5:$E$151,A40,'Asana Tasks'!$G$5:$G$151,"Quality Review!")</x:f>
        <x:v>0</x:v>
      </x:c>
      <x:c r="H40" s="18" t="n">
        <x:f>COUNTIFS('Asana Tasks'!$E$5:$E$151,A40,'Asana Tasks'!$G$5:$G$151,"No status")</x:f>
        <x:v>1</x:v>
      </x:c>
      <x:c r="I40" s="16" t="n">
        <x:f>IFERROR(C40/B40,0)</x:f>
        <x:v>0.75</x:v>
      </x:c>
    </x:row>
    <x:row r="41">
      <x:c r="A41" s="18" t="str">
        <x:v>2025-09</x:v>
      </x:c>
      <x:c r="B41" s="18" t="n">
        <x:f>COUNTIF('Asana Tasks'!$E$5:$E$151,A41)</x:f>
        <x:v>17</x:v>
      </x:c>
      <x:c r="C41" s="18" t="n">
        <x:f>COUNTIFS('Asana Tasks'!$E$5:$E$151,A41,'Asana Tasks'!$H$5:$H$151,"Yes")</x:f>
        <x:v>17</x:v>
      </x:c>
      <x:c r="D41" s="18" t="n">
        <x:f>B41-C41</x:f>
        <x:v>0</x:v>
      </x:c>
      <x:c r="E41" s="18" t="n">
        <x:f>COUNTIFS('Asana Tasks'!$E$5:$E$151,A41,'Asana Tasks'!$G$5:$G$151,"Failed Inspection")</x:f>
        <x:v>12</x:v>
      </x:c>
      <x:c r="F41" s="18" t="n">
        <x:f>COUNTIFS('Asana Tasks'!$E$5:$E$151,A41,'Asana Tasks'!$G$5:$G$151,"Passed Inspection")+COUNTIFS('Asana Tasks'!$E$5:$E$151,A41,'Asana Tasks'!$G$5:$G$151,"Compliant Received")</x:f>
        <x:v>5</x:v>
      </x:c>
      <x:c r="G41" s="18" t="n">
        <x:f>COUNTIFS('Asana Tasks'!$E$5:$E$151,A41,'Asana Tasks'!$G$5:$G$151,"Quality Review!")</x:f>
        <x:v>0</x:v>
      </x:c>
      <x:c r="H41" s="18" t="n">
        <x:f>COUNTIFS('Asana Tasks'!$E$5:$E$151,A41,'Asana Tasks'!$G$5:$G$151,"No status")</x:f>
        <x:v>0</x:v>
      </x:c>
      <x:c r="I41" s="16" t="n">
        <x:f>IFERROR(C41/B41,0)</x:f>
        <x:v>1</x:v>
      </x:c>
    </x:row>
    <x:row r="42">
      <x:c r="A42" s="18" t="str">
        <x:v>2025-11</x:v>
      </x:c>
      <x:c r="B42" s="18" t="n">
        <x:f>COUNTIF('Asana Tasks'!$E$5:$E$151,A42)</x:f>
        <x:v>2</x:v>
      </x:c>
      <x:c r="C42" s="18" t="n">
        <x:f>COUNTIFS('Asana Tasks'!$E$5:$E$151,A42,'Asana Tasks'!$H$5:$H$151,"Yes")</x:f>
        <x:v>2</x:v>
      </x:c>
      <x:c r="D42" s="18" t="n">
        <x:f>B42-C42</x:f>
        <x:v>0</x:v>
      </x:c>
      <x:c r="E42" s="18" t="n">
        <x:f>COUNTIFS('Asana Tasks'!$E$5:$E$151,A42,'Asana Tasks'!$G$5:$G$151,"Failed Inspection")</x:f>
        <x:v>0</x:v>
      </x:c>
      <x:c r="F42" s="18" t="n">
        <x:f>COUNTIFS('Asana Tasks'!$E$5:$E$151,A42,'Asana Tasks'!$G$5:$G$151,"Passed Inspection")+COUNTIFS('Asana Tasks'!$E$5:$E$151,A42,'Asana Tasks'!$G$5:$G$151,"Compliant Received")</x:f>
        <x:v>0</x:v>
      </x:c>
      <x:c r="G42" s="18" t="n">
        <x:f>COUNTIFS('Asana Tasks'!$E$5:$E$151,A42,'Asana Tasks'!$G$5:$G$151,"Quality Review!")</x:f>
        <x:v>0</x:v>
      </x:c>
      <x:c r="H42" s="18" t="n">
        <x:f>COUNTIFS('Asana Tasks'!$E$5:$E$151,A42,'Asana Tasks'!$G$5:$G$151,"No status")</x:f>
        <x:v>2</x:v>
      </x:c>
      <x:c r="I42" s="16" t="n">
        <x:f>IFERROR(C42/B42,0)</x:f>
        <x:v>1</x:v>
      </x:c>
    </x:row>
    <x:row r="43">
      <x:c r="A43" s="18" t="str">
        <x:v>2025-12</x:v>
      </x:c>
      <x:c r="B43" s="18" t="n">
        <x:f>COUNTIF('Asana Tasks'!$E$5:$E$151,A43)</x:f>
        <x:v>4</x:v>
      </x:c>
      <x:c r="C43" s="18" t="n">
        <x:f>COUNTIFS('Asana Tasks'!$E$5:$E$151,A43,'Asana Tasks'!$H$5:$H$151,"Yes")</x:f>
        <x:v>4</x:v>
      </x:c>
      <x:c r="D43" s="18" t="n">
        <x:f>B43-C43</x:f>
        <x:v>0</x:v>
      </x:c>
      <x:c r="E43" s="18" t="n">
        <x:f>COUNTIFS('Asana Tasks'!$E$5:$E$151,A43,'Asana Tasks'!$G$5:$G$151,"Failed Inspection")</x:f>
        <x:v>0</x:v>
      </x:c>
      <x:c r="F43" s="18" t="n">
        <x:f>COUNTIFS('Asana Tasks'!$E$5:$E$151,A43,'Asana Tasks'!$G$5:$G$151,"Passed Inspection")+COUNTIFS('Asana Tasks'!$E$5:$E$151,A43,'Asana Tasks'!$G$5:$G$151,"Compliant Received")</x:f>
        <x:v>0</x:v>
      </x:c>
      <x:c r="G43" s="18" t="n">
        <x:f>COUNTIFS('Asana Tasks'!$E$5:$E$151,A43,'Asana Tasks'!$G$5:$G$151,"Quality Review!")</x:f>
        <x:v>0</x:v>
      </x:c>
      <x:c r="H43" s="18" t="n">
        <x:f>COUNTIFS('Asana Tasks'!$E$5:$E$151,A43,'Asana Tasks'!$G$5:$G$151,"No status")</x:f>
        <x:v>4</x:v>
      </x:c>
      <x:c r="I43" s="16" t="n">
        <x:f>IFERROR(C43/B43,0)</x:f>
        <x:v>1</x:v>
      </x:c>
    </x:row>
    <x:row r="44">
      <x:c r="A44" s="18" t="str">
        <x:v>2026-03</x:v>
      </x:c>
      <x:c r="B44" s="18" t="n">
        <x:f>COUNTIF('Asana Tasks'!$E$5:$E$151,A44)</x:f>
        <x:v>3</x:v>
      </x:c>
      <x:c r="C44" s="18" t="n">
        <x:f>COUNTIFS('Asana Tasks'!$E$5:$E$151,A44,'Asana Tasks'!$H$5:$H$151,"Yes")</x:f>
        <x:v>2</x:v>
      </x:c>
      <x:c r="D44" s="18" t="n">
        <x:f>B44-C44</x:f>
        <x:v>1</x:v>
      </x:c>
      <x:c r="E44" s="18" t="n">
        <x:f>COUNTIFS('Asana Tasks'!$E$5:$E$151,A44,'Asana Tasks'!$G$5:$G$151,"Failed Inspection")</x:f>
        <x:v>0</x:v>
      </x:c>
      <x:c r="F44" s="18" t="n">
        <x:f>COUNTIFS('Asana Tasks'!$E$5:$E$151,A44,'Asana Tasks'!$G$5:$G$151,"Passed Inspection")+COUNTIFS('Asana Tasks'!$E$5:$E$151,A44,'Asana Tasks'!$G$5:$G$151,"Compliant Received")</x:f>
        <x:v>1</x:v>
      </x:c>
      <x:c r="G44" s="18" t="n">
        <x:f>COUNTIFS('Asana Tasks'!$E$5:$E$151,A44,'Asana Tasks'!$G$5:$G$151,"Quality Review!")</x:f>
        <x:v>1</x:v>
      </x:c>
      <x:c r="H44" s="18" t="n">
        <x:f>COUNTIFS('Asana Tasks'!$E$5:$E$151,A44,'Asana Tasks'!$G$5:$G$151,"No status")</x:f>
        <x:v>1</x:v>
      </x:c>
      <x:c r="I44" s="16" t="n">
        <x:f>IFERROR(C44/B44,0)</x:f>
        <x:v>0.6666666666666666</x:v>
      </x:c>
    </x:row>
    <x:row r="45">
      <x:c r="A45" s="18" t="str">
        <x:v>2026-04</x:v>
      </x:c>
      <x:c r="B45" s="18" t="n">
        <x:f>COUNTIF('Asana Tasks'!$E$5:$E$151,A45)</x:f>
        <x:v>3</x:v>
      </x:c>
      <x:c r="C45" s="18" t="n">
        <x:f>COUNTIFS('Asana Tasks'!$E$5:$E$151,A45,'Asana Tasks'!$H$5:$H$151,"Yes")</x:f>
        <x:v>2</x:v>
      </x:c>
      <x:c r="D45" s="18" t="n">
        <x:f>B45-C45</x:f>
        <x:v>1</x:v>
      </x:c>
      <x:c r="E45" s="18" t="n">
        <x:f>COUNTIFS('Asana Tasks'!$E$5:$E$151,A45,'Asana Tasks'!$G$5:$G$151,"Failed Inspection")</x:f>
        <x:v>1</x:v>
      </x:c>
      <x:c r="F45" s="18" t="n">
        <x:f>COUNTIFS('Asana Tasks'!$E$5:$E$151,A45,'Asana Tasks'!$G$5:$G$151,"Passed Inspection")+COUNTIFS('Asana Tasks'!$E$5:$E$151,A45,'Asana Tasks'!$G$5:$G$151,"Compliant Received")</x:f>
        <x:v>1</x:v>
      </x:c>
      <x:c r="G45" s="18" t="n">
        <x:f>COUNTIFS('Asana Tasks'!$E$5:$E$151,A45,'Asana Tasks'!$G$5:$G$151,"Quality Review!")</x:f>
        <x:v>0</x:v>
      </x:c>
      <x:c r="H45" s="18" t="n">
        <x:f>COUNTIFS('Asana Tasks'!$E$5:$E$151,A45,'Asana Tasks'!$G$5:$G$151,"No status")</x:f>
        <x:v>1</x:v>
      </x:c>
      <x:c r="I45" s="16" t="n">
        <x:f>IFERROR(C45/B45,0)</x:f>
        <x:v>0.6666666666666666</x:v>
      </x:c>
    </x:row>
    <x:row r="46">
      <x:c r="A46" s="18" t="str">
        <x:v>2026-05</x:v>
      </x:c>
      <x:c r="B46" s="18" t="n">
        <x:f>COUNTIF('Asana Tasks'!$E$5:$E$151,A46)</x:f>
        <x:v>5</x:v>
      </x:c>
      <x:c r="C46" s="18" t="n">
        <x:f>COUNTIFS('Asana Tasks'!$E$5:$E$151,A46,'Asana Tasks'!$H$5:$H$151,"Yes")</x:f>
        <x:v>2</x:v>
      </x:c>
      <x:c r="D46" s="18" t="n">
        <x:f>B46-C46</x:f>
        <x:v>3</x:v>
      </x:c>
      <x:c r="E46" s="18" t="n">
        <x:f>COUNTIFS('Asana Tasks'!$E$5:$E$151,A46,'Asana Tasks'!$G$5:$G$151,"Failed Inspection")</x:f>
        <x:v>3</x:v>
      </x:c>
      <x:c r="F46" s="18" t="n">
        <x:f>COUNTIFS('Asana Tasks'!$E$5:$E$151,A46,'Asana Tasks'!$G$5:$G$151,"Passed Inspection")+COUNTIFS('Asana Tasks'!$E$5:$E$151,A46,'Asana Tasks'!$G$5:$G$151,"Compliant Received")</x:f>
        <x:v>1</x:v>
      </x:c>
      <x:c r="G46" s="18" t="n">
        <x:f>COUNTIFS('Asana Tasks'!$E$5:$E$151,A46,'Asana Tasks'!$G$5:$G$151,"Quality Review!")</x:f>
        <x:v>0</x:v>
      </x:c>
      <x:c r="H46" s="18" t="n">
        <x:f>COUNTIFS('Asana Tasks'!$E$5:$E$151,A46,'Asana Tasks'!$G$5:$G$151,"No status")</x:f>
        <x:v>1</x:v>
      </x:c>
      <x:c r="I46" s="16" t="n">
        <x:f>IFERROR(C46/B46,0)</x:f>
        <x:v>0.4</x:v>
      </x:c>
    </x:row>
    <x:row r="47">
      <x:c r="A47" s="18" t="str">
        <x:v>2026-06</x:v>
      </x:c>
      <x:c r="B47" s="18" t="n">
        <x:f>COUNTIF('Asana Tasks'!$E$5:$E$151,A47)</x:f>
        <x:v>3</x:v>
      </x:c>
      <x:c r="C47" s="18" t="n">
        <x:f>COUNTIFS('Asana Tasks'!$E$5:$E$151,A47,'Asana Tasks'!$H$5:$H$151,"Yes")</x:f>
        <x:v>0</x:v>
      </x:c>
      <x:c r="D47" s="18" t="n">
        <x:f>B47-C47</x:f>
        <x:v>3</x:v>
      </x:c>
      <x:c r="E47" s="18" t="n">
        <x:f>COUNTIFS('Asana Tasks'!$E$5:$E$151,A47,'Asana Tasks'!$G$5:$G$151,"Failed Inspection")</x:f>
        <x:v>3</x:v>
      </x:c>
      <x:c r="F47" s="18" t="n">
        <x:f>COUNTIFS('Asana Tasks'!$E$5:$E$151,A47,'Asana Tasks'!$G$5:$G$151,"Passed Inspection")+COUNTIFS('Asana Tasks'!$E$5:$E$151,A47,'Asana Tasks'!$G$5:$G$151,"Compliant Received")</x:f>
        <x:v>0</x:v>
      </x:c>
      <x:c r="G47" s="18" t="n">
        <x:f>COUNTIFS('Asana Tasks'!$E$5:$E$151,A47,'Asana Tasks'!$G$5:$G$151,"Quality Review!")</x:f>
        <x:v>0</x:v>
      </x:c>
      <x:c r="H47" s="18" t="n">
        <x:f>COUNTIFS('Asana Tasks'!$E$5:$E$151,A47,'Asana Tasks'!$G$5:$G$151,"No status")</x:f>
        <x:v>0</x:v>
      </x:c>
      <x:c r="I47" s="16" t="n">
        <x:f>IFERROR(C47/B47,0)</x:f>
        <x:v>0</x:v>
      </x:c>
    </x:row>
    <x:row r="48">
      <x:c r="A48" s="18" t="str">
        <x:v>2026-07</x:v>
      </x:c>
      <x:c r="B48" s="18" t="n">
        <x:f>COUNTIF('Asana Tasks'!$E$5:$E$151,A48)</x:f>
        <x:v>8</x:v>
      </x:c>
      <x:c r="C48" s="18" t="n">
        <x:f>COUNTIFS('Asana Tasks'!$E$5:$E$151,A48,'Asana Tasks'!$H$5:$H$151,"Yes")</x:f>
        <x:v>0</x:v>
      </x:c>
      <x:c r="D48" s="18" t="n">
        <x:f>B48-C48</x:f>
        <x:v>8</x:v>
      </x:c>
      <x:c r="E48" s="18" t="n">
        <x:f>COUNTIFS('Asana Tasks'!$E$5:$E$151,A48,'Asana Tasks'!$G$5:$G$151,"Failed Inspection")</x:f>
        <x:v>4</x:v>
      </x:c>
      <x:c r="F48" s="18" t="n">
        <x:f>COUNTIFS('Asana Tasks'!$E$5:$E$151,A48,'Asana Tasks'!$G$5:$G$151,"Passed Inspection")+COUNTIFS('Asana Tasks'!$E$5:$E$151,A48,'Asana Tasks'!$G$5:$G$151,"Compliant Received")</x:f>
        <x:v>2</x:v>
      </x:c>
      <x:c r="G48" s="18" t="n">
        <x:f>COUNTIFS('Asana Tasks'!$E$5:$E$151,A48,'Asana Tasks'!$G$5:$G$151,"Quality Review!")</x:f>
        <x:v>1</x:v>
      </x:c>
      <x:c r="H48" s="18" t="n">
        <x:f>COUNTIFS('Asana Tasks'!$E$5:$E$151,A48,'Asana Tasks'!$G$5:$G$151,"No status")</x:f>
        <x:v>1</x:v>
      </x:c>
      <x:c r="I48" s="16" t="n">
        <x:f>IFERROR(C48/B48,0)</x:f>
        <x:v>0</x:v>
      </x:c>
    </x:row>
    <x:row r="49">
      <x:c r="A49" s="18" t="str">
        <x:v>2026-08</x:v>
      </x:c>
      <x:c r="B49" s="18" t="n">
        <x:f>COUNTIF('Asana Tasks'!$E$5:$E$151,A49)</x:f>
        <x:v>1</x:v>
      </x:c>
      <x:c r="C49" s="18" t="n">
        <x:f>COUNTIFS('Asana Tasks'!$E$5:$E$151,A49,'Asana Tasks'!$H$5:$H$151,"Yes")</x:f>
        <x:v>0</x:v>
      </x:c>
      <x:c r="D49" s="18" t="n">
        <x:f>B49-C49</x:f>
        <x:v>1</x:v>
      </x:c>
      <x:c r="E49" s="18" t="n">
        <x:f>COUNTIFS('Asana Tasks'!$E$5:$E$151,A49,'Asana Tasks'!$G$5:$G$151,"Failed Inspection")</x:f>
        <x:v>0</x:v>
      </x:c>
      <x:c r="F49" s="18" t="n">
        <x:f>COUNTIFS('Asana Tasks'!$E$5:$E$151,A49,'Asana Tasks'!$G$5:$G$151,"Passed Inspection")+COUNTIFS('Asana Tasks'!$E$5:$E$151,A49,'Asana Tasks'!$G$5:$G$151,"Compliant Received")</x:f>
        <x:v>1</x:v>
      </x:c>
      <x:c r="G49" s="18" t="n">
        <x:f>COUNTIFS('Asana Tasks'!$E$5:$E$151,A49,'Asana Tasks'!$G$5:$G$151,"Quality Review!")</x:f>
        <x:v>0</x:v>
      </x:c>
      <x:c r="H49" s="18" t="n">
        <x:f>COUNTIFS('Asana Tasks'!$E$5:$E$151,A49,'Asana Tasks'!$G$5:$G$151,"No status")</x:f>
        <x:v>0</x:v>
      </x:c>
      <x:c r="I49" s="16" t="n">
        <x:f>IFERROR(C49/B49,0)</x:f>
        <x:v>0</x:v>
      </x:c>
    </x:row>
    <x:row r="50">
      <x:c r="A50" s="18" t="str">
        <x:v>Undated</x:v>
      </x:c>
      <x:c r="B50" s="18" t="n">
        <x:f>COUNTIF('Asana Tasks'!$E$5:$E$151,A50)</x:f>
        <x:v>21</x:v>
      </x:c>
      <x:c r="C50" s="18" t="n">
        <x:f>COUNTIFS('Asana Tasks'!$E$5:$E$151,A50,'Asana Tasks'!$H$5:$H$151,"Yes")</x:f>
        <x:v>20</x:v>
      </x:c>
      <x:c r="D50" s="18" t="n">
        <x:f>B50-C50</x:f>
        <x:v>1</x:v>
      </x:c>
      <x:c r="E50" s="18" t="n">
        <x:f>COUNTIFS('Asana Tasks'!$E$5:$E$151,A50,'Asana Tasks'!$G$5:$G$151,"Failed Inspection")</x:f>
        <x:v>6</x:v>
      </x:c>
      <x:c r="F50" s="18" t="n">
        <x:f>COUNTIFS('Asana Tasks'!$E$5:$E$151,A50,'Asana Tasks'!$G$5:$G$151,"Passed Inspection")+COUNTIFS('Asana Tasks'!$E$5:$E$151,A50,'Asana Tasks'!$G$5:$G$151,"Compliant Received")</x:f>
        <x:v>1</x:v>
      </x:c>
      <x:c r="G50" s="18" t="n">
        <x:f>COUNTIFS('Asana Tasks'!$E$5:$E$151,A50,'Asana Tasks'!$G$5:$G$151,"Quality Review!")</x:f>
        <x:v>1</x:v>
      </x:c>
      <x:c r="H50" s="18" t="n">
        <x:f>COUNTIFS('Asana Tasks'!$E$5:$E$151,A50,'Asana Tasks'!$G$5:$G$151,"No status")</x:f>
        <x:v>0</x:v>
      </x:c>
      <x:c r="I50" s="16" t="n">
        <x:f>IFERROR(C50/B50,0)</x:f>
        <x:v>0.9523809523809523</x:v>
      </x:c>
    </x:row>
    <x:row r="51">
      <x:c r="A51" s="18" t="str">
        <x:v>TOTAL</x:v>
      </x:c>
      <x:c r="B51" s="18" t="n">
        <x:f>COUNTIF('Asana Tasks'!$E$5:$E$151,A51)</x:f>
        <x:v>0</x:v>
      </x:c>
      <x:c r="C51" s="18" t="n">
        <x:f>COUNTIFS('Asana Tasks'!$E$5:$E$151,A51,'Asana Tasks'!$H$5:$H$151,"Yes")</x:f>
        <x:v>0</x:v>
      </x:c>
      <x:c r="D51" s="18" t="n">
        <x:f>B51-C51</x:f>
        <x:v>0</x:v>
      </x:c>
      <x:c r="E51" s="18" t="n">
        <x:f>COUNTIFS('Asana Tasks'!$E$5:$E$151,A51,'Asana Tasks'!$G$5:$G$151,"Failed Inspection")</x:f>
        <x:v>0</x:v>
      </x:c>
      <x:c r="F51" s="18" t="n">
        <x:f>COUNTIFS('Asana Tasks'!$E$5:$E$151,A51,'Asana Tasks'!$G$5:$G$151,"Passed Inspection")+COUNTIFS('Asana Tasks'!$E$5:$E$151,A51,'Asana Tasks'!$G$5:$G$151,"Compliant Received")</x:f>
        <x:v>0</x:v>
      </x:c>
      <x:c r="G51" s="18" t="n">
        <x:f>COUNTIFS('Asana Tasks'!$E$5:$E$151,A51,'Asana Tasks'!$G$5:$G$151,"Quality Review!")</x:f>
        <x:v>0</x:v>
      </x:c>
      <x:c r="H51" s="18" t="n">
        <x:f>COUNTIFS('Asana Tasks'!$E$5:$E$151,A51,'Asana Tasks'!$G$5:$G$151,"No status")</x:f>
        <x:v>0</x:v>
      </x:c>
      <x:c r="I51" s="16" t="n">
        <x:f>IFERROR(C51/B51,0)</x:f>
        <x:v>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32" hidden="0" customWidth="1"/>
  </x:cols>
  <x:sheetData>
    <x:row r="1">
      <x:c r="A1" s="1" t="str">
        <x:v>FINANCIAL SUMMARY BY YEAR AND MONTH</x:v>
      </x:c>
      <x:c r="B1" s="1"/>
      <x:c r="C1" s="1"/>
      <x:c r="D1" s="1"/>
      <x:c r="E1" s="1"/>
      <x:c r="F1" s="1"/>
    </x:row>
    <x:row r="2">
      <x:c r="A2" s="3" t="str">
        <x:v>Itemized amounts retained from the dispute analysis; financial-system verification remains outstanding.</x:v>
      </x:c>
      <x:c r="B2" s="3"/>
      <x:c r="C2" s="3"/>
      <x:c r="D2" s="3"/>
      <x:c r="E2" s="3"/>
      <x:c r="F2" s="3"/>
    </x:row>
    <x:row r="4">
      <x:c r="A4" s="8" t="str">
        <x:v>Period</x:v>
      </x:c>
      <x:c r="B4" s="8" t="str">
        <x:v>Reported Paid</x:v>
      </x:c>
      <x:c r="C4" s="8" t="str">
        <x:v>Reported Denied</x:v>
      </x:c>
      <x:c r="D4" s="8" t="str">
        <x:v>Itemized Total</x:v>
      </x:c>
      <x:c r="E4" s="8" t="str">
        <x:v>Verified in Financial System?</x:v>
      </x:c>
      <x:c r="F4" s="8" t="str">
        <x:v>Difference from Published Summary</x:v>
      </x:c>
    </x:row>
    <x:row r="5">
      <x:c r="A5" s="18" t="str">
        <x:v>2025</x:v>
      </x:c>
      <x:c r="B5" s="19" t="n">
        <x:f>SUMIFS('Financial Ledger'!$H$5:$H$95,'Financial Ledger'!$C$5:$C$95,A5,'Financial Ledger'!$G$5:$G$95,"Reported Paid")</x:f>
        <x:v>38779</x:v>
      </x:c>
      <x:c r="C5" s="19" t="n">
        <x:f>SUMIFS('Financial Ledger'!$H$5:$H$95,'Financial Ledger'!$C$5:$C$95,A5,'Financial Ledger'!$G$5:$G$95,"Reported Denied")</x:f>
        <x:v>0</x:v>
      </x:c>
      <x:c r="D5" s="19" t="n">
        <x:f>B5+C5</x:f>
        <x:v>38779</x:v>
      </x:c>
      <x:c r="E5" s="18" t="str">
        <x:f>"No"</x:f>
        <x:v>No</x:v>
      </x:c>
      <x:c r="F5" s="18" t="str">
        <x:f>""</x:f>
      </x:c>
    </x:row>
    <x:row r="6">
      <x:c r="A6" s="18" t="str">
        <x:v>2025-10</x:v>
      </x:c>
      <x:c r="B6" s="19" t="n">
        <x:f>SUMIFS('Financial Ledger'!$H$5:$H$95,'Financial Ledger'!$D$5:$D$95,A6,'Financial Ledger'!$G$5:$G$95,"Reported Paid")</x:f>
        <x:v>5275</x:v>
      </x:c>
      <x:c r="C6" s="19" t="n">
        <x:f>SUMIFS('Financial Ledger'!$H$5:$H$95,'Financial Ledger'!$D$5:$D$95,A6,'Financial Ledger'!$G$5:$G$95,"Reported Denied")</x:f>
        <x:v>0</x:v>
      </x:c>
      <x:c r="D6" s="19" t="n">
        <x:f>B6+C6</x:f>
        <x:v>5275</x:v>
      </x:c>
      <x:c r="E6" s="18" t="str">
        <x:f>"No"</x:f>
        <x:v>No</x:v>
      </x:c>
      <x:c r="F6" s="18" t="str">
        <x:f>""</x:f>
      </x:c>
    </x:row>
    <x:row r="7">
      <x:c r="A7" s="18" t="str">
        <x:v>2025-11</x:v>
      </x:c>
      <x:c r="B7" s="19" t="n">
        <x:f>SUMIFS('Financial Ledger'!$H$5:$H$95,'Financial Ledger'!$D$5:$D$95,A7,'Financial Ledger'!$G$5:$G$95,"Reported Paid")</x:f>
        <x:v>16752</x:v>
      </x:c>
      <x:c r="C7" s="19" t="n">
        <x:f>SUMIFS('Financial Ledger'!$H$5:$H$95,'Financial Ledger'!$D$5:$D$95,A7,'Financial Ledger'!$G$5:$G$95,"Reported Denied")</x:f>
        <x:v>0</x:v>
      </x:c>
      <x:c r="D7" s="19" t="n">
        <x:f>B7+C7</x:f>
        <x:v>16752</x:v>
      </x:c>
      <x:c r="E7" s="18" t="str">
        <x:f>"No"</x:f>
        <x:v>No</x:v>
      </x:c>
      <x:c r="F7" s="18" t="str">
        <x:f>""</x:f>
      </x:c>
    </x:row>
    <x:row r="8">
      <x:c r="A8" s="18" t="str">
        <x:v>2025-12</x:v>
      </x:c>
      <x:c r="B8" s="19" t="n">
        <x:f>SUMIFS('Financial Ledger'!$H$5:$H$95,'Financial Ledger'!$D$5:$D$95,A8,'Financial Ledger'!$G$5:$G$95,"Reported Paid")</x:f>
        <x:v>16752</x:v>
      </x:c>
      <x:c r="C8" s="19" t="n">
        <x:f>SUMIFS('Financial Ledger'!$H$5:$H$95,'Financial Ledger'!$D$5:$D$95,A8,'Financial Ledger'!$G$5:$G$95,"Reported Denied")</x:f>
        <x:v>0</x:v>
      </x:c>
      <x:c r="D8" s="19" t="n">
        <x:f>B8+C8</x:f>
        <x:v>16752</x:v>
      </x:c>
      <x:c r="E8" s="18" t="str">
        <x:f>"No"</x:f>
        <x:v>No</x:v>
      </x:c>
      <x:c r="F8" s="18" t="str">
        <x:f>""</x:f>
      </x:c>
    </x:row>
    <x:row r="9">
      <x:c r="A9" s="18" t="str">
        <x:v>2026</x:v>
      </x:c>
      <x:c r="B9" s="19" t="n">
        <x:f>SUMIFS('Financial Ledger'!$H$5:$H$95,'Financial Ledger'!$C$5:$C$95,A9,'Financial Ledger'!$G$5:$G$95,"Reported Paid")</x:f>
        <x:v>101169</x:v>
      </x:c>
      <x:c r="C9" s="19" t="n">
        <x:f>SUMIFS('Financial Ledger'!$H$5:$H$95,'Financial Ledger'!$C$5:$C$95,A9,'Financial Ledger'!$G$5:$G$95,"Reported Denied")</x:f>
        <x:v>23685</x:v>
      </x:c>
      <x:c r="D9" s="19" t="n">
        <x:f>B9+C9</x:f>
        <x:v>124854</x:v>
      </x:c>
      <x:c r="E9" s="18" t="str">
        <x:f>"No"</x:f>
        <x:v>No</x:v>
      </x:c>
      <x:c r="F9" s="18" t="str">
        <x:f>""</x:f>
      </x:c>
    </x:row>
    <x:row r="10">
      <x:c r="A10" s="18" t="str">
        <x:v>2026-01</x:v>
      </x:c>
      <x:c r="B10" s="19" t="n">
        <x:f>SUMIFS('Financial Ledger'!$H$5:$H$95,'Financial Ledger'!$D$5:$D$95,A10,'Financial Ledger'!$G$5:$G$95,"Reported Paid")</x:f>
        <x:v>16752</x:v>
      </x:c>
      <x:c r="C10" s="19" t="n">
        <x:f>SUMIFS('Financial Ledger'!$H$5:$H$95,'Financial Ledger'!$D$5:$D$95,A10,'Financial Ledger'!$G$5:$G$95,"Reported Denied")</x:f>
        <x:v>0</x:v>
      </x:c>
      <x:c r="D10" s="19" t="n">
        <x:f>B10+C10</x:f>
        <x:v>16752</x:v>
      </x:c>
      <x:c r="E10" s="18" t="str">
        <x:f>"No"</x:f>
        <x:v>No</x:v>
      </x:c>
      <x:c r="F10" s="18" t="str">
        <x:f>""</x:f>
      </x:c>
    </x:row>
    <x:row r="11">
      <x:c r="A11" s="18" t="str">
        <x:v>2026-02</x:v>
      </x:c>
      <x:c r="B11" s="19" t="n">
        <x:f>SUMIFS('Financial Ledger'!$H$5:$H$95,'Financial Ledger'!$D$5:$D$95,A11,'Financial Ledger'!$G$5:$G$95,"Reported Paid")</x:f>
        <x:v>18412</x:v>
      </x:c>
      <x:c r="C11" s="19" t="n">
        <x:f>SUMIFS('Financial Ledger'!$H$5:$H$95,'Financial Ledger'!$D$5:$D$95,A11,'Financial Ledger'!$G$5:$G$95,"Reported Denied")</x:f>
        <x:v>0</x:v>
      </x:c>
      <x:c r="D11" s="19" t="n">
        <x:f>B11+C11</x:f>
        <x:v>18412</x:v>
      </x:c>
      <x:c r="E11" s="18" t="str">
        <x:f>"No"</x:f>
        <x:v>No</x:v>
      </x:c>
      <x:c r="F11" s="18" t="str">
        <x:f>""</x:f>
      </x:c>
    </x:row>
    <x:row r="12">
      <x:c r="A12" s="18" t="str">
        <x:v>2026-03</x:v>
      </x:c>
      <x:c r="B12" s="19" t="n">
        <x:f>SUMIFS('Financial Ledger'!$H$5:$H$95,'Financial Ledger'!$D$5:$D$95,A12,'Financial Ledger'!$G$5:$G$95,"Reported Paid")</x:f>
        <x:v>18412</x:v>
      </x:c>
      <x:c r="C12" s="19" t="n">
        <x:f>SUMIFS('Financial Ledger'!$H$5:$H$95,'Financial Ledger'!$D$5:$D$95,A12,'Financial Ledger'!$G$5:$G$95,"Reported Denied")</x:f>
        <x:v>0</x:v>
      </x:c>
      <x:c r="D12" s="19" t="n">
        <x:f>B12+C12</x:f>
        <x:v>18412</x:v>
      </x:c>
      <x:c r="E12" s="18" t="str">
        <x:f>"No"</x:f>
        <x:v>No</x:v>
      </x:c>
      <x:c r="F12" s="18" t="str">
        <x:f>""</x:f>
      </x:c>
    </x:row>
    <x:row r="13">
      <x:c r="A13" s="18" t="str">
        <x:v>2026-04</x:v>
      </x:c>
      <x:c r="B13" s="19" t="n">
        <x:f>SUMIFS('Financial Ledger'!$H$5:$H$95,'Financial Ledger'!$D$5:$D$95,A13,'Financial Ledger'!$G$5:$G$95,"Reported Paid")</x:f>
        <x:v>18412</x:v>
      </x:c>
      <x:c r="C13" s="19" t="n">
        <x:f>SUMIFS('Financial Ledger'!$H$5:$H$95,'Financial Ledger'!$D$5:$D$95,A13,'Financial Ledger'!$G$5:$G$95,"Reported Denied")</x:f>
        <x:v>0</x:v>
      </x:c>
      <x:c r="D13" s="19" t="n">
        <x:f>B13+C13</x:f>
        <x:v>18412</x:v>
      </x:c>
      <x:c r="E13" s="18" t="str">
        <x:f>"No"</x:f>
        <x:v>No</x:v>
      </x:c>
      <x:c r="F13" s="18" t="str">
        <x:f>""</x:f>
      </x:c>
    </x:row>
    <x:row r="14">
      <x:c r="A14" s="18" t="str">
        <x:v>2026-05</x:v>
      </x:c>
      <x:c r="B14" s="19" t="n">
        <x:f>SUMIFS('Financial Ledger'!$H$5:$H$95,'Financial Ledger'!$D$5:$D$95,A14,'Financial Ledger'!$G$5:$G$95,"Reported Paid")</x:f>
        <x:v>14952</x:v>
      </x:c>
      <x:c r="C14" s="19" t="n">
        <x:f>SUMIFS('Financial Ledger'!$H$5:$H$95,'Financial Ledger'!$D$5:$D$95,A14,'Financial Ledger'!$G$5:$G$95,"Reported Denied")</x:f>
        <x:v>3460</x:v>
      </x:c>
      <x:c r="D14" s="19" t="n">
        <x:f>B14+C14</x:f>
        <x:v>18412</x:v>
      </x:c>
      <x:c r="E14" s="18" t="str">
        <x:f>"No"</x:f>
        <x:v>No</x:v>
      </x:c>
      <x:c r="F14" s="18" t="str">
        <x:f>""</x:f>
      </x:c>
    </x:row>
    <x:row r="15">
      <x:c r="A15" s="18" t="str">
        <x:v>2026-06</x:v>
      </x:c>
      <x:c r="B15" s="19" t="n">
        <x:f>SUMIFS('Financial Ledger'!$H$5:$H$95,'Financial Ledger'!$D$5:$D$95,A15,'Financial Ledger'!$G$5:$G$95,"Reported Paid")</x:f>
        <x:v>7832</x:v>
      </x:c>
      <x:c r="C15" s="19" t="n">
        <x:f>SUMIFS('Financial Ledger'!$H$5:$H$95,'Financial Ledger'!$D$5:$D$95,A15,'Financial Ledger'!$G$5:$G$95,"Reported Denied")</x:f>
        <x:v>10580</x:v>
      </x:c>
      <x:c r="D15" s="19" t="n">
        <x:f>B15+C15</x:f>
        <x:v>18412</x:v>
      </x:c>
      <x:c r="E15" s="18" t="str">
        <x:f>"No"</x:f>
        <x:v>No</x:v>
      </x:c>
      <x:c r="F15" s="18" t="str">
        <x:f>""</x:f>
      </x:c>
    </x:row>
    <x:row r="16">
      <x:c r="A16" s="18" t="str">
        <x:v>2026-07</x:v>
      </x:c>
      <x:c r="B16" s="19" t="n">
        <x:f>SUMIFS('Financial Ledger'!$H$5:$H$95,'Financial Ledger'!$D$5:$D$95,A16,'Financial Ledger'!$G$5:$G$95,"Reported Paid")</x:f>
        <x:v>6397</x:v>
      </x:c>
      <x:c r="C16" s="19" t="n">
        <x:f>SUMIFS('Financial Ledger'!$H$5:$H$95,'Financial Ledger'!$D$5:$D$95,A16,'Financial Ledger'!$G$5:$G$95,"Reported Denied")</x:f>
        <x:v>9645</x:v>
      </x:c>
      <x:c r="D16" s="19" t="n">
        <x:f>B16+C16</x:f>
        <x:v>16042</x:v>
      </x:c>
      <x:c r="E16" s="18" t="str">
        <x:f>"No"</x:f>
        <x:v>No</x:v>
      </x:c>
      <x:c r="F16" s="18" t="str">
        <x:f>""</x:f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0" hidden="0" customWidth="1"/>
    <x:col min="4" max="4" width="12" hidden="0" customWidth="1"/>
    <x:col min="5" max="5" width="15" hidden="0" customWidth="1"/>
    <x:col min="6" max="6" width="25" hidden="0" customWidth="1"/>
    <x:col min="7" max="7" width="18" hidden="0" customWidth="1"/>
    <x:col min="8" max="8" width="14" hidden="0" customWidth="1"/>
    <x:col min="9" max="9" width="48" hidden="0" customWidth="1"/>
  </x:cols>
  <x:sheetData>
    <x:row r="1">
      <x:c r="A1" s="1" t="str">
        <x:v>ITEMIZED FINANCIAL LEDGER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Provisional dispute-support index. Reported Paid is not proof of payment; every entry requires confirmation against the authoritative financial system.</x:v>
      </x:c>
      <x:c r="B2" s="3"/>
      <x:c r="C2" s="3"/>
      <x:c r="D2" s="3"/>
      <x:c r="E2" s="3"/>
      <x:c r="F2" s="3"/>
      <x:c r="G2" s="3"/>
      <x:c r="H2" s="3"/>
      <x:c r="I2" s="3"/>
    </x:row>
    <x:row r="4" ht="38" customHeight="1">
      <x:c r="A4" s="8" t="str">
        <x:v>Service Cycle</x:v>
      </x:c>
      <x:c r="B4" s="8" t="str">
        <x:v>Service Date</x:v>
      </x:c>
      <x:c r="C4" s="8" t="str">
        <x:v>Year</x:v>
      </x:c>
      <x:c r="D4" s="8" t="str">
        <x:v>Month</x:v>
      </x:c>
      <x:c r="E4" s="8" t="str">
        <x:v>Service Area</x:v>
      </x:c>
      <x:c r="F4" s="8" t="str">
        <x:v>Invoice(s)</x:v>
      </x:c>
      <x:c r="G4" s="8" t="str">
        <x:v>Classification</x:v>
      </x:c>
      <x:c r="H4" s="8" t="str">
        <x:v>Amount</x:v>
      </x:c>
      <x:c r="I4" s="8" t="str">
        <x:v>Source / Verification</x:v>
      </x:c>
    </x:row>
    <x:row r="5">
      <x:c r="A5" s="13" t="str">
        <x:v>Oct 31, 2025 – 2nd Cycle</x:v>
      </x:c>
      <x:c r="B5" s="10" t="n">
        <x:v>45961</x:v>
      </x:c>
      <x:c r="C5" s="9" t="n">
        <x:f>YEAR(B5)</x:f>
        <x:v>2025</x:v>
      </x:c>
      <x:c r="D5" s="9" t="str">
        <x:f>TEXT(B5,"yyyy-mm")</x:f>
        <x:v>2025-10</x:v>
      </x:c>
      <x:c r="E5" s="9" t="str">
        <x:v>Service Area 1</x:v>
      </x:c>
      <x:c r="F5" s="9" t="str">
        <x:v>FICT-INV-001-1, FICT-INV-001-2</x:v>
      </x:c>
      <x:c r="G5" s="9" t="str">
        <x:v>Reported Paid</x:v>
      </x:c>
      <x:c r="H5" s="12" t="n">
        <x:v>1230</x:v>
      </x:c>
      <x:c r="I5" s="13" t="str">
        <x:v>Itemized record from the dispute support file; financial-system confirmation required.</x:v>
      </x:c>
    </x:row>
    <x:row r="6">
      <x:c r="A6" s="13" t="str">
        <x:v>Oct 31, 2025 – 2nd Cycle</x:v>
      </x:c>
      <x:c r="B6" s="10" t="n">
        <x:v>45961</x:v>
      </x:c>
      <x:c r="C6" s="9" t="n">
        <x:f>YEAR(B6)</x:f>
        <x:v>2025</x:v>
      </x:c>
      <x:c r="D6" s="9" t="str">
        <x:f>TEXT(B6,"yyyy-mm")</x:f>
        <x:v>2025-10</x:v>
      </x:c>
      <x:c r="E6" s="9" t="str">
        <x:v>Service Area 4</x:v>
      </x:c>
      <x:c r="F6" s="9" t="str">
        <x:v>FICT-INV-002-1, FICT-INV-002-2</x:v>
      </x:c>
      <x:c r="G6" s="9" t="str">
        <x:v>Reported Paid</x:v>
      </x:c>
      <x:c r="H6" s="12" t="n">
        <x:v>1415</x:v>
      </x:c>
      <x:c r="I6" s="13" t="str">
        <x:v>Itemized record from the dispute support file; financial-system confirmation required.</x:v>
      </x:c>
    </x:row>
    <x:row r="7">
      <x:c r="A7" s="13" t="str">
        <x:v>Oct 31, 2025 – 2nd Cycle</x:v>
      </x:c>
      <x:c r="B7" s="10" t="n">
        <x:v>45961</x:v>
      </x:c>
      <x:c r="C7" s="9" t="n">
        <x:f>YEAR(B7)</x:f>
        <x:v>2025</x:v>
      </x:c>
      <x:c r="D7" s="9" t="str">
        <x:f>TEXT(B7,"yyyy-mm")</x:f>
        <x:v>2025-10</x:v>
      </x:c>
      <x:c r="E7" s="9" t="str">
        <x:v>Service Area 5</x:v>
      </x:c>
      <x:c r="F7" s="9" t="str">
        <x:v>FICT-INV-003-1, FICT-INV-003-2</x:v>
      </x:c>
      <x:c r="G7" s="9" t="str">
        <x:v>Reported Paid</x:v>
      </x:c>
      <x:c r="H7" s="12" t="n">
        <x:v>2630</x:v>
      </x:c>
      <x:c r="I7" s="13" t="str">
        <x:v>Itemized record from the dispute support file; financial-system confirmation required.</x:v>
      </x:c>
    </x:row>
    <x:row r="8">
      <x:c r="A8" s="13" t="str">
        <x:v>Nov 17, 2025 – 1st Cycle</x:v>
      </x:c>
      <x:c r="B8" s="10" t="n">
        <x:v>45978</x:v>
      </x:c>
      <x:c r="C8" s="9" t="n">
        <x:f>YEAR(B8)</x:f>
        <x:v>2025</x:v>
      </x:c>
      <x:c r="D8" s="9" t="str">
        <x:f>TEXT(B8,"yyyy-mm")</x:f>
        <x:v>2025-11</x:v>
      </x:c>
      <x:c r="E8" s="9" t="str">
        <x:v>Service Area 1</x:v>
      </x:c>
      <x:c r="F8" s="9" t="str">
        <x:v>FICT-INV-004-1</x:v>
      </x:c>
      <x:c r="G8" s="9" t="str">
        <x:v>Reported Paid</x:v>
      </x:c>
      <x:c r="H8" s="12" t="n">
        <x:v>1185</x:v>
      </x:c>
      <x:c r="I8" s="13" t="str">
        <x:v>Itemized record from the dispute support file; financial-system confirmation required.</x:v>
      </x:c>
    </x:row>
    <x:row r="9">
      <x:c r="A9" s="13" t="str">
        <x:v>Nov 17, 2025 – 1st Cycle</x:v>
      </x:c>
      <x:c r="B9" s="10" t="n">
        <x:v>45978</x:v>
      </x:c>
      <x:c r="C9" s="9" t="n">
        <x:f>YEAR(B9)</x:f>
        <x:v>2025</x:v>
      </x:c>
      <x:c r="D9" s="9" t="str">
        <x:f>TEXT(B9,"yyyy-mm")</x:f>
        <x:v>2025-11</x:v>
      </x:c>
      <x:c r="E9" s="9" t="str">
        <x:v>Service Area 4</x:v>
      </x:c>
      <x:c r="F9" s="9" t="str">
        <x:v>FICT-INV-005-1</x:v>
      </x:c>
      <x:c r="G9" s="9" t="str">
        <x:v>Reported Paid</x:v>
      </x:c>
      <x:c r="H9" s="12" t="n">
        <x:v>1300</x:v>
      </x:c>
      <x:c r="I9" s="13" t="str">
        <x:v>Itemized record from the dispute support file; financial-system confirmation required.</x:v>
      </x:c>
    </x:row>
    <x:row r="10">
      <x:c r="A10" s="13" t="str">
        <x:v>Nov 17, 2025 – 1st Cycle</x:v>
      </x:c>
      <x:c r="B10" s="10" t="n">
        <x:v>45978</x:v>
      </x:c>
      <x:c r="C10" s="9" t="n">
        <x:f>YEAR(B10)</x:f>
        <x:v>2025</x:v>
      </x:c>
      <x:c r="D10" s="9" t="str">
        <x:f>TEXT(B10,"yyyy-mm")</x:f>
        <x:v>2025-11</x:v>
      </x:c>
      <x:c r="E10" s="9" t="str">
        <x:v>Service Area 5</x:v>
      </x:c>
      <x:c r="F10" s="9" t="str">
        <x:v>FICT-INV-006-1</x:v>
      </x:c>
      <x:c r="G10" s="9" t="str">
        <x:v>Reported Paid</x:v>
      </x:c>
      <x:c r="H10" s="12" t="n">
        <x:v>4320</x:v>
      </x:c>
      <x:c r="I10" s="13" t="str">
        <x:v>Itemized record from the dispute support file; financial-system confirmation required.</x:v>
      </x:c>
    </x:row>
    <x:row r="11">
      <x:c r="A11" s="13" t="str">
        <x:v>Nov 17, 2025 – 1st Cycle</x:v>
      </x:c>
      <x:c r="B11" s="10" t="n">
        <x:v>45978</x:v>
      </x:c>
      <x:c r="C11" s="9" t="n">
        <x:f>YEAR(B11)</x:f>
        <x:v>2025</x:v>
      </x:c>
      <x:c r="D11" s="9" t="str">
        <x:f>TEXT(B11,"yyyy-mm")</x:f>
        <x:v>2025-11</x:v>
      </x:c>
      <x:c r="E11" s="9" t="str">
        <x:v>Service Area 6</x:v>
      </x:c>
      <x:c r="F11" s="9" t="str">
        <x:v>FICT-INV-007-1</x:v>
      </x:c>
      <x:c r="G11" s="9" t="str">
        <x:v>Reported Paid</x:v>
      </x:c>
      <x:c r="H11" s="12" t="n">
        <x:v>1025</x:v>
      </x:c>
      <x:c r="I11" s="13" t="str">
        <x:v>Itemized record from the dispute support file; financial-system confirmation required.</x:v>
      </x:c>
    </x:row>
    <x:row r="12">
      <x:c r="A12" s="13" t="str">
        <x:v>Nov 17, 2025 – 1st Cycle</x:v>
      </x:c>
      <x:c r="B12" s="10" t="n">
        <x:v>45978</x:v>
      </x:c>
      <x:c r="C12" s="9" t="n">
        <x:f>YEAR(B12)</x:f>
        <x:v>2025</x:v>
      </x:c>
      <x:c r="D12" s="9" t="str">
        <x:f>TEXT(B12,"yyyy-mm")</x:f>
        <x:v>2025-11</x:v>
      </x:c>
      <x:c r="E12" s="9" t="str">
        <x:v>Service Area 7</x:v>
      </x:c>
      <x:c r="F12" s="9" t="str">
        <x:v>FICT-INV-008-1</x:v>
      </x:c>
      <x:c r="G12" s="9" t="str">
        <x:v>Reported Paid</x:v>
      </x:c>
      <x:c r="H12" s="12" t="n">
        <x:v>1345</x:v>
      </x:c>
      <x:c r="I12" s="13" t="str">
        <x:v>Itemized record from the dispute support file; financial-system confirmation required.</x:v>
      </x:c>
    </x:row>
    <x:row r="13">
      <x:c r="A13" s="13" t="str">
        <x:v>Nov 30, 2025 – 2nd Cycle</x:v>
      </x:c>
      <x:c r="B13" s="10" t="n">
        <x:v>45991</x:v>
      </x:c>
      <x:c r="C13" s="9" t="n">
        <x:f>YEAR(B13)</x:f>
        <x:v>2025</x:v>
      </x:c>
      <x:c r="D13" s="9" t="str">
        <x:f>TEXT(B13,"yyyy-mm")</x:f>
        <x:v>2025-11</x:v>
      </x:c>
      <x:c r="E13" s="9" t="str">
        <x:v>Service Area 1</x:v>
      </x:c>
      <x:c r="F13" s="9" t="str">
        <x:v>FICT-INV-009-1, FICT-INV-009-2</x:v>
      </x:c>
      <x:c r="G13" s="9" t="str">
        <x:v>Reported Paid</x:v>
      </x:c>
      <x:c r="H13" s="12" t="n">
        <x:v>1230</x:v>
      </x:c>
      <x:c r="I13" s="13" t="str">
        <x:v>Itemized record from the dispute support file; financial-system confirmation required.</x:v>
      </x:c>
    </x:row>
    <x:row r="14">
      <x:c r="A14" s="13" t="str">
        <x:v>Nov 30, 2025 – 2nd Cycle</x:v>
      </x:c>
      <x:c r="B14" s="10" t="n">
        <x:v>45991</x:v>
      </x:c>
      <x:c r="C14" s="9" t="n">
        <x:f>YEAR(B14)</x:f>
        <x:v>2025</x:v>
      </x:c>
      <x:c r="D14" s="9" t="str">
        <x:f>TEXT(B14,"yyyy-mm")</x:f>
        <x:v>2025-11</x:v>
      </x:c>
      <x:c r="E14" s="9" t="str">
        <x:v>Service Area 4</x:v>
      </x:c>
      <x:c r="F14" s="9" t="str">
        <x:v>FICT-INV-010-1, FICT-INV-010-2</x:v>
      </x:c>
      <x:c r="G14" s="9" t="str">
        <x:v>Reported Paid</x:v>
      </x:c>
      <x:c r="H14" s="12" t="n">
        <x:v>1415</x:v>
      </x:c>
      <x:c r="I14" s="13" t="str">
        <x:v>Itemized record from the dispute support file; financial-system confirmation required.</x:v>
      </x:c>
    </x:row>
    <x:row r="15">
      <x:c r="A15" s="13" t="str">
        <x:v>Nov 30, 2025 – 2nd Cycle</x:v>
      </x:c>
      <x:c r="B15" s="10" t="n">
        <x:v>45991</x:v>
      </x:c>
      <x:c r="C15" s="9" t="n">
        <x:f>YEAR(B15)</x:f>
        <x:v>2025</x:v>
      </x:c>
      <x:c r="D15" s="9" t="str">
        <x:f>TEXT(B15,"yyyy-mm")</x:f>
        <x:v>2025-11</x:v>
      </x:c>
      <x:c r="E15" s="9" t="str">
        <x:v>Service Area 5</x:v>
      </x:c>
      <x:c r="F15" s="9" t="str">
        <x:v>FICT-INV-011-1, FICT-INV-011-2</x:v>
      </x:c>
      <x:c r="G15" s="9" t="str">
        <x:v>Reported Paid</x:v>
      </x:c>
      <x:c r="H15" s="12" t="n">
        <x:v>2630</x:v>
      </x:c>
      <x:c r="I15" s="13" t="str">
        <x:v>Itemized record from the dispute support file; financial-system confirmation required.</x:v>
      </x:c>
    </x:row>
    <x:row r="16">
      <x:c r="A16" s="13" t="str">
        <x:v>Nov 30, 2025 – 2nd Cycle</x:v>
      </x:c>
      <x:c r="B16" s="10" t="n">
        <x:v>45991</x:v>
      </x:c>
      <x:c r="C16" s="9" t="n">
        <x:f>YEAR(B16)</x:f>
        <x:v>2025</x:v>
      </x:c>
      <x:c r="D16" s="9" t="str">
        <x:f>TEXT(B16,"yyyy-mm")</x:f>
        <x:v>2025-11</x:v>
      </x:c>
      <x:c r="E16" s="9" t="str">
        <x:v>Service Area 6</x:v>
      </x:c>
      <x:c r="F16" s="9" t="str">
        <x:v>FICT-INV-012-1, FICT-INV-012-2</x:v>
      </x:c>
      <x:c r="G16" s="9" t="str">
        <x:v>Reported Paid</x:v>
      </x:c>
      <x:c r="H16" s="12" t="n">
        <x:v>1035</x:v>
      </x:c>
      <x:c r="I16" s="13" t="str">
        <x:v>Itemized record from the dispute support file; financial-system confirmation required.</x:v>
      </x:c>
    </x:row>
    <x:row r="17">
      <x:c r="A17" s="13" t="str">
        <x:v>Nov 30, 2025 – 2nd Cycle</x:v>
      </x:c>
      <x:c r="B17" s="10" t="n">
        <x:v>45991</x:v>
      </x:c>
      <x:c r="C17" s="9" t="n">
        <x:f>YEAR(B17)</x:f>
        <x:v>2025</x:v>
      </x:c>
      <x:c r="D17" s="9" t="str">
        <x:f>TEXT(B17,"yyyy-mm")</x:f>
        <x:v>2025-11</x:v>
      </x:c>
      <x:c r="E17" s="9" t="str">
        <x:v>Service Area 7</x:v>
      </x:c>
      <x:c r="F17" s="9" t="str">
        <x:v>FICT-INV-013-1, FICT-INV-013-2</x:v>
      </x:c>
      <x:c r="G17" s="9" t="str">
        <x:v>Reported Paid</x:v>
      </x:c>
      <x:c r="H17" s="12" t="n">
        <x:v>1267</x:v>
      </x:c>
      <x:c r="I17" s="13" t="str">
        <x:v>Itemized record from the dispute support file; financial-system confirmation required.</x:v>
      </x:c>
    </x:row>
    <x:row r="18">
      <x:c r="A18" s="13" t="str">
        <x:v>Dec 15, 2025 – 1st Cycle</x:v>
      </x:c>
      <x:c r="B18" s="10" t="n">
        <x:v>46006</x:v>
      </x:c>
      <x:c r="C18" s="9" t="n">
        <x:f>YEAR(B18)</x:f>
        <x:v>2025</x:v>
      </x:c>
      <x:c r="D18" s="9" t="str">
        <x:f>TEXT(B18,"yyyy-mm")</x:f>
        <x:v>2025-12</x:v>
      </x:c>
      <x:c r="E18" s="9" t="str">
        <x:v>Service Area 1</x:v>
      </x:c>
      <x:c r="F18" s="9" t="str">
        <x:v>FICT-INV-014-1</x:v>
      </x:c>
      <x:c r="G18" s="9" t="str">
        <x:v>Reported Paid</x:v>
      </x:c>
      <x:c r="H18" s="12" t="n">
        <x:v>1185</x:v>
      </x:c>
      <x:c r="I18" s="13" t="str">
        <x:v>Itemized record from the dispute support file; financial-system confirmation required.</x:v>
      </x:c>
    </x:row>
    <x:row r="19">
      <x:c r="A19" s="13" t="str">
        <x:v>Dec 15, 2025 – 1st Cycle</x:v>
      </x:c>
      <x:c r="B19" s="10" t="n">
        <x:v>46006</x:v>
      </x:c>
      <x:c r="C19" s="9" t="n">
        <x:f>YEAR(B19)</x:f>
        <x:v>2025</x:v>
      </x:c>
      <x:c r="D19" s="9" t="str">
        <x:f>TEXT(B19,"yyyy-mm")</x:f>
        <x:v>2025-12</x:v>
      </x:c>
      <x:c r="E19" s="9" t="str">
        <x:v>Service Area 4</x:v>
      </x:c>
      <x:c r="F19" s="9" t="str">
        <x:v>FICT-INV-015-1</x:v>
      </x:c>
      <x:c r="G19" s="9" t="str">
        <x:v>Reported Paid</x:v>
      </x:c>
      <x:c r="H19" s="12" t="n">
        <x:v>1300</x:v>
      </x:c>
      <x:c r="I19" s="13" t="str">
        <x:v>Itemized record from the dispute support file; financial-system confirmation required.</x:v>
      </x:c>
    </x:row>
    <x:row r="20">
      <x:c r="A20" s="13" t="str">
        <x:v>Dec 15, 2025 – 1st Cycle</x:v>
      </x:c>
      <x:c r="B20" s="10" t="n">
        <x:v>46006</x:v>
      </x:c>
      <x:c r="C20" s="9" t="n">
        <x:f>YEAR(B20)</x:f>
        <x:v>2025</x:v>
      </x:c>
      <x:c r="D20" s="9" t="str">
        <x:f>TEXT(B20,"yyyy-mm")</x:f>
        <x:v>2025-12</x:v>
      </x:c>
      <x:c r="E20" s="9" t="str">
        <x:v>Service Area 5</x:v>
      </x:c>
      <x:c r="F20" s="9" t="str">
        <x:v>FICT-INV-016-1</x:v>
      </x:c>
      <x:c r="G20" s="9" t="str">
        <x:v>Reported Paid</x:v>
      </x:c>
      <x:c r="H20" s="12" t="n">
        <x:v>4320</x:v>
      </x:c>
      <x:c r="I20" s="13" t="str">
        <x:v>Itemized record from the dispute support file; financial-system confirmation required.</x:v>
      </x:c>
    </x:row>
    <x:row r="21">
      <x:c r="A21" s="13" t="str">
        <x:v>Dec 15, 2025 – 1st Cycle</x:v>
      </x:c>
      <x:c r="B21" s="10" t="n">
        <x:v>46006</x:v>
      </x:c>
      <x:c r="C21" s="9" t="n">
        <x:f>YEAR(B21)</x:f>
        <x:v>2025</x:v>
      </x:c>
      <x:c r="D21" s="9" t="str">
        <x:f>TEXT(B21,"yyyy-mm")</x:f>
        <x:v>2025-12</x:v>
      </x:c>
      <x:c r="E21" s="9" t="str">
        <x:v>Service Area 6</x:v>
      </x:c>
      <x:c r="F21" s="9" t="str">
        <x:v>FICT-INV-017-1</x:v>
      </x:c>
      <x:c r="G21" s="9" t="str">
        <x:v>Reported Paid</x:v>
      </x:c>
      <x:c r="H21" s="12" t="n">
        <x:v>1025</x:v>
      </x:c>
      <x:c r="I21" s="13" t="str">
        <x:v>Itemized record from the dispute support file; financial-system confirmation required.</x:v>
      </x:c>
    </x:row>
    <x:row r="22">
      <x:c r="A22" s="13" t="str">
        <x:v>Dec 15, 2025 – 1st Cycle</x:v>
      </x:c>
      <x:c r="B22" s="10" t="n">
        <x:v>46006</x:v>
      </x:c>
      <x:c r="C22" s="9" t="n">
        <x:f>YEAR(B22)</x:f>
        <x:v>2025</x:v>
      </x:c>
      <x:c r="D22" s="9" t="str">
        <x:f>TEXT(B22,"yyyy-mm")</x:f>
        <x:v>2025-12</x:v>
      </x:c>
      <x:c r="E22" s="9" t="str">
        <x:v>Service Area 7</x:v>
      </x:c>
      <x:c r="F22" s="9" t="str">
        <x:v>FICT-INV-018-1</x:v>
      </x:c>
      <x:c r="G22" s="9" t="str">
        <x:v>Reported Paid</x:v>
      </x:c>
      <x:c r="H22" s="12" t="n">
        <x:v>1345</x:v>
      </x:c>
      <x:c r="I22" s="13" t="str">
        <x:v>Itemized record from the dispute support file; financial-system confirmation required.</x:v>
      </x:c>
    </x:row>
    <x:row r="23">
      <x:c r="A23" s="13" t="str">
        <x:v>Dec 31, 2025 – 2nd Cycle</x:v>
      </x:c>
      <x:c r="B23" s="10" t="n">
        <x:v>46022</x:v>
      </x:c>
      <x:c r="C23" s="9" t="n">
        <x:f>YEAR(B23)</x:f>
        <x:v>2025</x:v>
      </x:c>
      <x:c r="D23" s="9" t="str">
        <x:f>TEXT(B23,"yyyy-mm")</x:f>
        <x:v>2025-12</x:v>
      </x:c>
      <x:c r="E23" s="9" t="str">
        <x:v>Service Area 1</x:v>
      </x:c>
      <x:c r="F23" s="9" t="str">
        <x:v>FICT-INV-019-1, FICT-INV-019-2</x:v>
      </x:c>
      <x:c r="G23" s="9" t="str">
        <x:v>Reported Paid</x:v>
      </x:c>
      <x:c r="H23" s="12" t="n">
        <x:v>1230</x:v>
      </x:c>
      <x:c r="I23" s="13" t="str">
        <x:v>Itemized record from the dispute support file; financial-system confirmation required.</x:v>
      </x:c>
    </x:row>
    <x:row r="24">
      <x:c r="A24" s="13" t="str">
        <x:v>Dec 31, 2025 – 2nd Cycle</x:v>
      </x:c>
      <x:c r="B24" s="10" t="n">
        <x:v>46022</x:v>
      </x:c>
      <x:c r="C24" s="9" t="n">
        <x:f>YEAR(B24)</x:f>
        <x:v>2025</x:v>
      </x:c>
      <x:c r="D24" s="9" t="str">
        <x:f>TEXT(B24,"yyyy-mm")</x:f>
        <x:v>2025-12</x:v>
      </x:c>
      <x:c r="E24" s="9" t="str">
        <x:v>Service Area 4</x:v>
      </x:c>
      <x:c r="F24" s="9" t="str">
        <x:v>FICT-INV-020-1, FICT-INV-020-2</x:v>
      </x:c>
      <x:c r="G24" s="9" t="str">
        <x:v>Reported Paid</x:v>
      </x:c>
      <x:c r="H24" s="12" t="n">
        <x:v>1415</x:v>
      </x:c>
      <x:c r="I24" s="13" t="str">
        <x:v>Itemized record from the dispute support file; financial-system confirmation required.</x:v>
      </x:c>
    </x:row>
    <x:row r="25">
      <x:c r="A25" s="13" t="str">
        <x:v>Dec 31, 2025 – 2nd Cycle</x:v>
      </x:c>
      <x:c r="B25" s="10" t="n">
        <x:v>46022</x:v>
      </x:c>
      <x:c r="C25" s="9" t="n">
        <x:f>YEAR(B25)</x:f>
        <x:v>2025</x:v>
      </x:c>
      <x:c r="D25" s="9" t="str">
        <x:f>TEXT(B25,"yyyy-mm")</x:f>
        <x:v>2025-12</x:v>
      </x:c>
      <x:c r="E25" s="9" t="str">
        <x:v>Service Area 5</x:v>
      </x:c>
      <x:c r="F25" s="9" t="str">
        <x:v>FICT-INV-021-1, FICT-INV-021-2</x:v>
      </x:c>
      <x:c r="G25" s="9" t="str">
        <x:v>Reported Paid</x:v>
      </x:c>
      <x:c r="H25" s="12" t="n">
        <x:v>2630</x:v>
      </x:c>
      <x:c r="I25" s="13" t="str">
        <x:v>Itemized record from the dispute support file; financial-system confirmation required.</x:v>
      </x:c>
    </x:row>
    <x:row r="26">
      <x:c r="A26" s="13" t="str">
        <x:v>Dec 31, 2025 – 2nd Cycle</x:v>
      </x:c>
      <x:c r="B26" s="10" t="n">
        <x:v>46022</x:v>
      </x:c>
      <x:c r="C26" s="9" t="n">
        <x:f>YEAR(B26)</x:f>
        <x:v>2025</x:v>
      </x:c>
      <x:c r="D26" s="9" t="str">
        <x:f>TEXT(B26,"yyyy-mm")</x:f>
        <x:v>2025-12</x:v>
      </x:c>
      <x:c r="E26" s="9" t="str">
        <x:v>Service Area 6</x:v>
      </x:c>
      <x:c r="F26" s="9" t="str">
        <x:v>FICT-INV-022-1, FICT-INV-022-2</x:v>
      </x:c>
      <x:c r="G26" s="9" t="str">
        <x:v>Reported Paid</x:v>
      </x:c>
      <x:c r="H26" s="12" t="n">
        <x:v>1035</x:v>
      </x:c>
      <x:c r="I26" s="13" t="str">
        <x:v>Itemized record from the dispute support file; financial-system confirmation required.</x:v>
      </x:c>
    </x:row>
    <x:row r="27">
      <x:c r="A27" s="13" t="str">
        <x:v>Dec 31, 2025 – 2nd Cycle</x:v>
      </x:c>
      <x:c r="B27" s="10" t="n">
        <x:v>46022</x:v>
      </x:c>
      <x:c r="C27" s="9" t="n">
        <x:f>YEAR(B27)</x:f>
        <x:v>2025</x:v>
      </x:c>
      <x:c r="D27" s="9" t="str">
        <x:f>TEXT(B27,"yyyy-mm")</x:f>
        <x:v>2025-12</x:v>
      </x:c>
      <x:c r="E27" s="9" t="str">
        <x:v>Service Area 7</x:v>
      </x:c>
      <x:c r="F27" s="9" t="str">
        <x:v>FICT-INV-023-1, FICT-INV-023-2</x:v>
      </x:c>
      <x:c r="G27" s="9" t="str">
        <x:v>Reported Paid</x:v>
      </x:c>
      <x:c r="H27" s="12" t="n">
        <x:v>1267</x:v>
      </x:c>
      <x:c r="I27" s="13" t="str">
        <x:v>Itemized record from the dispute support file; financial-system confirmation required.</x:v>
      </x:c>
    </x:row>
    <x:row r="28">
      <x:c r="A28" s="13" t="str">
        <x:v>Jan 15, 2026 – 1st Cycle</x:v>
      </x:c>
      <x:c r="B28" s="10" t="n">
        <x:v>46037</x:v>
      </x:c>
      <x:c r="C28" s="9" t="n">
        <x:f>YEAR(B28)</x:f>
        <x:v>2026</x:v>
      </x:c>
      <x:c r="D28" s="9" t="str">
        <x:f>TEXT(B28,"yyyy-mm")</x:f>
        <x:v>2026-01</x:v>
      </x:c>
      <x:c r="E28" s="9" t="str">
        <x:v>Service Area 1</x:v>
      </x:c>
      <x:c r="F28" s="9" t="str">
        <x:v>FICT-INV-024-1</x:v>
      </x:c>
      <x:c r="G28" s="9" t="str">
        <x:v>Reported Paid</x:v>
      </x:c>
      <x:c r="H28" s="12" t="n">
        <x:v>1185</x:v>
      </x:c>
      <x:c r="I28" s="13" t="str">
        <x:v>Itemized record from the dispute support file; financial-system confirmation required.</x:v>
      </x:c>
    </x:row>
    <x:row r="29">
      <x:c r="A29" s="13" t="str">
        <x:v>Jan 15, 2026 – 1st Cycle</x:v>
      </x:c>
      <x:c r="B29" s="10" t="n">
        <x:v>46037</x:v>
      </x:c>
      <x:c r="C29" s="9" t="n">
        <x:f>YEAR(B29)</x:f>
        <x:v>2026</x:v>
      </x:c>
      <x:c r="D29" s="9" t="str">
        <x:f>TEXT(B29,"yyyy-mm")</x:f>
        <x:v>2026-01</x:v>
      </x:c>
      <x:c r="E29" s="9" t="str">
        <x:v>Service Area 4</x:v>
      </x:c>
      <x:c r="F29" s="9" t="str">
        <x:v>FICT-INV-025-1</x:v>
      </x:c>
      <x:c r="G29" s="9" t="str">
        <x:v>Reported Paid</x:v>
      </x:c>
      <x:c r="H29" s="12" t="n">
        <x:v>1300</x:v>
      </x:c>
      <x:c r="I29" s="13" t="str">
        <x:v>Itemized record from the dispute support file; financial-system confirmation required.</x:v>
      </x:c>
    </x:row>
    <x:row r="30">
      <x:c r="A30" s="13" t="str">
        <x:v>Jan 15, 2026 – 1st Cycle</x:v>
      </x:c>
      <x:c r="B30" s="10" t="n">
        <x:v>46037</x:v>
      </x:c>
      <x:c r="C30" s="9" t="n">
        <x:f>YEAR(B30)</x:f>
        <x:v>2026</x:v>
      </x:c>
      <x:c r="D30" s="9" t="str">
        <x:f>TEXT(B30,"yyyy-mm")</x:f>
        <x:v>2026-01</x:v>
      </x:c>
      <x:c r="E30" s="9" t="str">
        <x:v>Service Area 5</x:v>
      </x:c>
      <x:c r="F30" s="9" t="str">
        <x:v>FICT-INV-026-1</x:v>
      </x:c>
      <x:c r="G30" s="9" t="str">
        <x:v>Reported Paid</x:v>
      </x:c>
      <x:c r="H30" s="12" t="n">
        <x:v>4320</x:v>
      </x:c>
      <x:c r="I30" s="13" t="str">
        <x:v>Itemized record from the dispute support file; financial-system confirmation required.</x:v>
      </x:c>
    </x:row>
    <x:row r="31">
      <x:c r="A31" s="13" t="str">
        <x:v>Jan 15, 2026 – 1st Cycle</x:v>
      </x:c>
      <x:c r="B31" s="10" t="n">
        <x:v>46037</x:v>
      </x:c>
      <x:c r="C31" s="9" t="n">
        <x:f>YEAR(B31)</x:f>
        <x:v>2026</x:v>
      </x:c>
      <x:c r="D31" s="9" t="str">
        <x:f>TEXT(B31,"yyyy-mm")</x:f>
        <x:v>2026-01</x:v>
      </x:c>
      <x:c r="E31" s="9" t="str">
        <x:v>Service Area 6</x:v>
      </x:c>
      <x:c r="F31" s="9" t="str">
        <x:v>FICT-INV-027-1</x:v>
      </x:c>
      <x:c r="G31" s="9" t="str">
        <x:v>Reported Paid</x:v>
      </x:c>
      <x:c r="H31" s="12" t="n">
        <x:v>1025</x:v>
      </x:c>
      <x:c r="I31" s="13" t="str">
        <x:v>Itemized record from the dispute support file; financial-system confirmation required.</x:v>
      </x:c>
    </x:row>
    <x:row r="32">
      <x:c r="A32" s="13" t="str">
        <x:v>Jan 15, 2026 – 1st Cycle</x:v>
      </x:c>
      <x:c r="B32" s="10" t="n">
        <x:v>46037</x:v>
      </x:c>
      <x:c r="C32" s="9" t="n">
        <x:f>YEAR(B32)</x:f>
        <x:v>2026</x:v>
      </x:c>
      <x:c r="D32" s="9" t="str">
        <x:f>TEXT(B32,"yyyy-mm")</x:f>
        <x:v>2026-01</x:v>
      </x:c>
      <x:c r="E32" s="9" t="str">
        <x:v>Service Area 7</x:v>
      </x:c>
      <x:c r="F32" s="9" t="str">
        <x:v>FICT-INV-028-1</x:v>
      </x:c>
      <x:c r="G32" s="9" t="str">
        <x:v>Reported Paid</x:v>
      </x:c>
      <x:c r="H32" s="12" t="n">
        <x:v>1345</x:v>
      </x:c>
      <x:c r="I32" s="13" t="str">
        <x:v>Itemized record from the dispute support file; financial-system confirmation required.</x:v>
      </x:c>
    </x:row>
    <x:row r="33">
      <x:c r="A33" s="13" t="str">
        <x:v>Jan 31, 2026 – 2nd Cycle</x:v>
      </x:c>
      <x:c r="B33" s="10" t="n">
        <x:v>46053</x:v>
      </x:c>
      <x:c r="C33" s="9" t="n">
        <x:f>YEAR(B33)</x:f>
        <x:v>2026</x:v>
      </x:c>
      <x:c r="D33" s="9" t="str">
        <x:f>TEXT(B33,"yyyy-mm")</x:f>
        <x:v>2026-01</x:v>
      </x:c>
      <x:c r="E33" s="9" t="str">
        <x:v>Service Area 1</x:v>
      </x:c>
      <x:c r="F33" s="9" t="str">
        <x:v>FICT-INV-029-1, FICT-INV-029-2</x:v>
      </x:c>
      <x:c r="G33" s="9" t="str">
        <x:v>Reported Paid</x:v>
      </x:c>
      <x:c r="H33" s="12" t="n">
        <x:v>1230</x:v>
      </x:c>
      <x:c r="I33" s="13" t="str">
        <x:v>Itemized record from the dispute support file; financial-system confirmation required.</x:v>
      </x:c>
    </x:row>
    <x:row r="34">
      <x:c r="A34" s="13" t="str">
        <x:v>Jan 31, 2026 – 2nd Cycle</x:v>
      </x:c>
      <x:c r="B34" s="10" t="n">
        <x:v>46053</x:v>
      </x:c>
      <x:c r="C34" s="9" t="n">
        <x:f>YEAR(B34)</x:f>
        <x:v>2026</x:v>
      </x:c>
      <x:c r="D34" s="9" t="str">
        <x:f>TEXT(B34,"yyyy-mm")</x:f>
        <x:v>2026-01</x:v>
      </x:c>
      <x:c r="E34" s="9" t="str">
        <x:v>Service Area 4</x:v>
      </x:c>
      <x:c r="F34" s="9" t="str">
        <x:v>FICT-INV-030-1, FICT-INV-030-2</x:v>
      </x:c>
      <x:c r="G34" s="9" t="str">
        <x:v>Reported Paid</x:v>
      </x:c>
      <x:c r="H34" s="12" t="n">
        <x:v>1415</x:v>
      </x:c>
      <x:c r="I34" s="13" t="str">
        <x:v>Itemized record from the dispute support file; financial-system confirmation required.</x:v>
      </x:c>
    </x:row>
    <x:row r="35">
      <x:c r="A35" s="13" t="str">
        <x:v>Jan 31, 2026 – 2nd Cycle</x:v>
      </x:c>
      <x:c r="B35" s="10" t="n">
        <x:v>46053</x:v>
      </x:c>
      <x:c r="C35" s="9" t="n">
        <x:f>YEAR(B35)</x:f>
        <x:v>2026</x:v>
      </x:c>
      <x:c r="D35" s="9" t="str">
        <x:f>TEXT(B35,"yyyy-mm")</x:f>
        <x:v>2026-01</x:v>
      </x:c>
      <x:c r="E35" s="9" t="str">
        <x:v>Service Area 5</x:v>
      </x:c>
      <x:c r="F35" s="9" t="str">
        <x:v>FICT-INV-031-1, FICT-INV-031-2</x:v>
      </x:c>
      <x:c r="G35" s="9" t="str">
        <x:v>Reported Paid</x:v>
      </x:c>
      <x:c r="H35" s="12" t="n">
        <x:v>2630</x:v>
      </x:c>
      <x:c r="I35" s="13" t="str">
        <x:v>Itemized record from the dispute support file; financial-system confirmation required.</x:v>
      </x:c>
    </x:row>
    <x:row r="36">
      <x:c r="A36" s="13" t="str">
        <x:v>Jan 31, 2026 – 2nd Cycle</x:v>
      </x:c>
      <x:c r="B36" s="10" t="n">
        <x:v>46053</x:v>
      </x:c>
      <x:c r="C36" s="9" t="n">
        <x:f>YEAR(B36)</x:f>
        <x:v>2026</x:v>
      </x:c>
      <x:c r="D36" s="9" t="str">
        <x:f>TEXT(B36,"yyyy-mm")</x:f>
        <x:v>2026-01</x:v>
      </x:c>
      <x:c r="E36" s="9" t="str">
        <x:v>Service Area 6</x:v>
      </x:c>
      <x:c r="F36" s="9" t="str">
        <x:v>FICT-INV-032-1, FICT-INV-032-2</x:v>
      </x:c>
      <x:c r="G36" s="9" t="str">
        <x:v>Reported Paid</x:v>
      </x:c>
      <x:c r="H36" s="12" t="n">
        <x:v>1035</x:v>
      </x:c>
      <x:c r="I36" s="13" t="str">
        <x:v>Itemized record from the dispute support file; financial-system confirmation required.</x:v>
      </x:c>
    </x:row>
    <x:row r="37">
      <x:c r="A37" s="13" t="str">
        <x:v>Jan 31, 2026 – 2nd Cycle</x:v>
      </x:c>
      <x:c r="B37" s="10" t="n">
        <x:v>46053</x:v>
      </x:c>
      <x:c r="C37" s="9" t="n">
        <x:f>YEAR(B37)</x:f>
        <x:v>2026</x:v>
      </x:c>
      <x:c r="D37" s="9" t="str">
        <x:f>TEXT(B37,"yyyy-mm")</x:f>
        <x:v>2026-01</x:v>
      </x:c>
      <x:c r="E37" s="9" t="str">
        <x:v>Service Area 7</x:v>
      </x:c>
      <x:c r="F37" s="9" t="str">
        <x:v>FICT-INV-033-1, FICT-INV-033-2</x:v>
      </x:c>
      <x:c r="G37" s="9" t="str">
        <x:v>Reported Paid</x:v>
      </x:c>
      <x:c r="H37" s="12" t="n">
        <x:v>1267</x:v>
      </x:c>
      <x:c r="I37" s="13" t="str">
        <x:v>Itemized record from the dispute support file; financial-system confirmation required.</x:v>
      </x:c>
    </x:row>
    <x:row r="38">
      <x:c r="A38" s="13" t="str">
        <x:v>Feb 16, 2026 – 1st Cycle</x:v>
      </x:c>
      <x:c r="B38" s="10" t="n">
        <x:v>46069</x:v>
      </x:c>
      <x:c r="C38" s="9" t="n">
        <x:f>YEAR(B38)</x:f>
        <x:v>2026</x:v>
      </x:c>
      <x:c r="D38" s="9" t="str">
        <x:f>TEXT(B38,"yyyy-mm")</x:f>
        <x:v>2026-02</x:v>
      </x:c>
      <x:c r="E38" s="9" t="str">
        <x:v>Service Area 1</x:v>
      </x:c>
      <x:c r="F38" s="9" t="str">
        <x:v>FICT-INV-034-1</x:v>
      </x:c>
      <x:c r="G38" s="9" t="str">
        <x:v>Reported Paid</x:v>
      </x:c>
      <x:c r="H38" s="12" t="n">
        <x:v>1185</x:v>
      </x:c>
      <x:c r="I38" s="13" t="str">
        <x:v>Itemized record from the dispute support file; financial-system confirmation required.</x:v>
      </x:c>
    </x:row>
    <x:row r="39">
      <x:c r="A39" s="13" t="str">
        <x:v>Feb 16, 2026 – 1st Cycle</x:v>
      </x:c>
      <x:c r="B39" s="10" t="n">
        <x:v>46069</x:v>
      </x:c>
      <x:c r="C39" s="9" t="n">
        <x:f>YEAR(B39)</x:f>
        <x:v>2026</x:v>
      </x:c>
      <x:c r="D39" s="9" t="str">
        <x:f>TEXT(B39,"yyyy-mm")</x:f>
        <x:v>2026-02</x:v>
      </x:c>
      <x:c r="E39" s="9" t="str">
        <x:v>Service Area 4</x:v>
      </x:c>
      <x:c r="F39" s="9" t="str">
        <x:v>FICT-INV-035-1</x:v>
      </x:c>
      <x:c r="G39" s="9" t="str">
        <x:v>Reported Paid</x:v>
      </x:c>
      <x:c r="H39" s="12" t="n">
        <x:v>1300</x:v>
      </x:c>
      <x:c r="I39" s="13" t="str">
        <x:v>Itemized record from the dispute support file; financial-system confirmation required.</x:v>
      </x:c>
    </x:row>
    <x:row r="40">
      <x:c r="A40" s="13" t="str">
        <x:v>Feb 16, 2026 – 1st Cycle</x:v>
      </x:c>
      <x:c r="B40" s="10" t="n">
        <x:v>46069</x:v>
      </x:c>
      <x:c r="C40" s="9" t="n">
        <x:f>YEAR(B40)</x:f>
        <x:v>2026</x:v>
      </x:c>
      <x:c r="D40" s="9" t="str">
        <x:f>TEXT(B40,"yyyy-mm")</x:f>
        <x:v>2026-02</x:v>
      </x:c>
      <x:c r="E40" s="9" t="str">
        <x:v>Service Area 5</x:v>
      </x:c>
      <x:c r="F40" s="9" t="str">
        <x:v>FICT-INV-036-1</x:v>
      </x:c>
      <x:c r="G40" s="9" t="str">
        <x:v>Reported Paid</x:v>
      </x:c>
      <x:c r="H40" s="12" t="n">
        <x:v>5150</x:v>
      </x:c>
      <x:c r="I40" s="13" t="str">
        <x:v>Itemized record from the dispute support file; financial-system confirmation required.</x:v>
      </x:c>
    </x:row>
    <x:row r="41">
      <x:c r="A41" s="13" t="str">
        <x:v>Feb 16, 2026 – 1st Cycle</x:v>
      </x:c>
      <x:c r="B41" s="10" t="n">
        <x:v>46069</x:v>
      </x:c>
      <x:c r="C41" s="9" t="n">
        <x:f>YEAR(B41)</x:f>
        <x:v>2026</x:v>
      </x:c>
      <x:c r="D41" s="9" t="str">
        <x:f>TEXT(B41,"yyyy-mm")</x:f>
        <x:v>2026-02</x:v>
      </x:c>
      <x:c r="E41" s="9" t="str">
        <x:v>Service Area 6</x:v>
      </x:c>
      <x:c r="F41" s="9" t="str">
        <x:v>FICT-INV-037-1</x:v>
      </x:c>
      <x:c r="G41" s="9" t="str">
        <x:v>Reported Paid</x:v>
      </x:c>
      <x:c r="H41" s="12" t="n">
        <x:v>1025</x:v>
      </x:c>
      <x:c r="I41" s="13" t="str">
        <x:v>Itemized record from the dispute support file; financial-system confirmation required.</x:v>
      </x:c>
    </x:row>
    <x:row r="42">
      <x:c r="A42" s="13" t="str">
        <x:v>Feb 16, 2026 – 1st Cycle</x:v>
      </x:c>
      <x:c r="B42" s="10" t="n">
        <x:v>46069</x:v>
      </x:c>
      <x:c r="C42" s="9" t="n">
        <x:f>YEAR(B42)</x:f>
        <x:v>2026</x:v>
      </x:c>
      <x:c r="D42" s="9" t="str">
        <x:f>TEXT(B42,"yyyy-mm")</x:f>
        <x:v>2026-02</x:v>
      </x:c>
      <x:c r="E42" s="9" t="str">
        <x:v>Service Area 7</x:v>
      </x:c>
      <x:c r="F42" s="9" t="str">
        <x:v>FICT-INV-038-1</x:v>
      </x:c>
      <x:c r="G42" s="9" t="str">
        <x:v>Reported Paid</x:v>
      </x:c>
      <x:c r="H42" s="12" t="n">
        <x:v>1345</x:v>
      </x:c>
      <x:c r="I42" s="13" t="str">
        <x:v>Itemized record from the dispute support file; financial-system confirmation required.</x:v>
      </x:c>
    </x:row>
    <x:row r="43">
      <x:c r="A43" s="13" t="str">
        <x:v>Feb 28, 2026 – 2nd Cycle</x:v>
      </x:c>
      <x:c r="B43" s="10" t="n">
        <x:v>46081</x:v>
      </x:c>
      <x:c r="C43" s="9" t="n">
        <x:f>YEAR(B43)</x:f>
        <x:v>2026</x:v>
      </x:c>
      <x:c r="D43" s="9" t="str">
        <x:f>TEXT(B43,"yyyy-mm")</x:f>
        <x:v>2026-02</x:v>
      </x:c>
      <x:c r="E43" s="9" t="str">
        <x:v>Service Area 1</x:v>
      </x:c>
      <x:c r="F43" s="9" t="str">
        <x:v>FICT-INV-039-1, FICT-INV-039-2</x:v>
      </x:c>
      <x:c r="G43" s="9" t="str">
        <x:v>Reported Paid</x:v>
      </x:c>
      <x:c r="H43" s="12" t="n">
        <x:v>1230</x:v>
      </x:c>
      <x:c r="I43" s="13" t="str">
        <x:v>Itemized record from the dispute support file; financial-system confirmation required.</x:v>
      </x:c>
    </x:row>
    <x:row r="44">
      <x:c r="A44" s="13" t="str">
        <x:v>Feb 28, 2026 – 2nd Cycle</x:v>
      </x:c>
      <x:c r="B44" s="10" t="n">
        <x:v>46081</x:v>
      </x:c>
      <x:c r="C44" s="9" t="n">
        <x:f>YEAR(B44)</x:f>
        <x:v>2026</x:v>
      </x:c>
      <x:c r="D44" s="9" t="str">
        <x:f>TEXT(B44,"yyyy-mm")</x:f>
        <x:v>2026-02</x:v>
      </x:c>
      <x:c r="E44" s="9" t="str">
        <x:v>Service Area 4</x:v>
      </x:c>
      <x:c r="F44" s="9" t="str">
        <x:v>FICT-INV-040-1, FICT-INV-040-2</x:v>
      </x:c>
      <x:c r="G44" s="9" t="str">
        <x:v>Reported Paid</x:v>
      </x:c>
      <x:c r="H44" s="12" t="n">
        <x:v>1415</x:v>
      </x:c>
      <x:c r="I44" s="13" t="str">
        <x:v>Itemized record from the dispute support file; financial-system confirmation required.</x:v>
      </x:c>
    </x:row>
    <x:row r="45">
      <x:c r="A45" s="13" t="str">
        <x:v>Feb 28, 2026 – 2nd Cycle</x:v>
      </x:c>
      <x:c r="B45" s="10" t="n">
        <x:v>46081</x:v>
      </x:c>
      <x:c r="C45" s="9" t="n">
        <x:f>YEAR(B45)</x:f>
        <x:v>2026</x:v>
      </x:c>
      <x:c r="D45" s="9" t="str">
        <x:f>TEXT(B45,"yyyy-mm")</x:f>
        <x:v>2026-02</x:v>
      </x:c>
      <x:c r="E45" s="9" t="str">
        <x:v>Service Area 5</x:v>
      </x:c>
      <x:c r="F45" s="9" t="str">
        <x:v>FICT-INV-041-1, FICT-INV-041-2</x:v>
      </x:c>
      <x:c r="G45" s="9" t="str">
        <x:v>Reported Paid</x:v>
      </x:c>
      <x:c r="H45" s="12" t="n">
        <x:v>3460</x:v>
      </x:c>
      <x:c r="I45" s="13" t="str">
        <x:v>Itemized record from the dispute support file; financial-system confirmation required.</x:v>
      </x:c>
    </x:row>
    <x:row r="46">
      <x:c r="A46" s="13" t="str">
        <x:v>Feb 28, 2026 – 2nd Cycle</x:v>
      </x:c>
      <x:c r="B46" s="10" t="n">
        <x:v>46081</x:v>
      </x:c>
      <x:c r="C46" s="9" t="n">
        <x:f>YEAR(B46)</x:f>
        <x:v>2026</x:v>
      </x:c>
      <x:c r="D46" s="9" t="str">
        <x:f>TEXT(B46,"yyyy-mm")</x:f>
        <x:v>2026-02</x:v>
      </x:c>
      <x:c r="E46" s="9" t="str">
        <x:v>Service Area 6</x:v>
      </x:c>
      <x:c r="F46" s="9" t="str">
        <x:v>FICT-INV-042-1, FICT-INV-042-2</x:v>
      </x:c>
      <x:c r="G46" s="9" t="str">
        <x:v>Reported Paid</x:v>
      </x:c>
      <x:c r="H46" s="12" t="n">
        <x:v>1035</x:v>
      </x:c>
      <x:c r="I46" s="13" t="str">
        <x:v>Itemized record from the dispute support file; financial-system confirmation required.</x:v>
      </x:c>
    </x:row>
    <x:row r="47">
      <x:c r="A47" s="13" t="str">
        <x:v>Feb 28, 2026 – 2nd Cycle</x:v>
      </x:c>
      <x:c r="B47" s="10" t="n">
        <x:v>46081</x:v>
      </x:c>
      <x:c r="C47" s="9" t="n">
        <x:f>YEAR(B47)</x:f>
        <x:v>2026</x:v>
      </x:c>
      <x:c r="D47" s="9" t="str">
        <x:f>TEXT(B47,"yyyy-mm")</x:f>
        <x:v>2026-02</x:v>
      </x:c>
      <x:c r="E47" s="9" t="str">
        <x:v>Service Area 7</x:v>
      </x:c>
      <x:c r="F47" s="9" t="str">
        <x:v>FICT-INV-043-1, FICT-INV-043-2</x:v>
      </x:c>
      <x:c r="G47" s="9" t="str">
        <x:v>Reported Paid</x:v>
      </x:c>
      <x:c r="H47" s="12" t="n">
        <x:v>1267</x:v>
      </x:c>
      <x:c r="I47" s="13" t="str">
        <x:v>Itemized record from the dispute support file; financial-system confirmation required.</x:v>
      </x:c>
    </x:row>
    <x:row r="48">
      <x:c r="A48" s="13" t="str">
        <x:v>Mar 15, 2026 – 1st Cycle</x:v>
      </x:c>
      <x:c r="B48" s="10" t="n">
        <x:v>46096</x:v>
      </x:c>
      <x:c r="C48" s="9" t="n">
        <x:f>YEAR(B48)</x:f>
        <x:v>2026</x:v>
      </x:c>
      <x:c r="D48" s="9" t="str">
        <x:f>TEXT(B48,"yyyy-mm")</x:f>
        <x:v>2026-03</x:v>
      </x:c>
      <x:c r="E48" s="9" t="str">
        <x:v>Service Area 1</x:v>
      </x:c>
      <x:c r="F48" s="9" t="str">
        <x:v>FICT-INV-044-1</x:v>
      </x:c>
      <x:c r="G48" s="9" t="str">
        <x:v>Reported Paid</x:v>
      </x:c>
      <x:c r="H48" s="12" t="n">
        <x:v>1185</x:v>
      </x:c>
      <x:c r="I48" s="13" t="str">
        <x:v>Itemized record from the dispute support file; financial-system confirmation required.</x:v>
      </x:c>
    </x:row>
    <x:row r="49">
      <x:c r="A49" s="13" t="str">
        <x:v>Mar 15, 2026 – 1st Cycle</x:v>
      </x:c>
      <x:c r="B49" s="10" t="n">
        <x:v>46096</x:v>
      </x:c>
      <x:c r="C49" s="9" t="n">
        <x:f>YEAR(B49)</x:f>
        <x:v>2026</x:v>
      </x:c>
      <x:c r="D49" s="9" t="str">
        <x:f>TEXT(B49,"yyyy-mm")</x:f>
        <x:v>2026-03</x:v>
      </x:c>
      <x:c r="E49" s="9" t="str">
        <x:v>Service Area 4</x:v>
      </x:c>
      <x:c r="F49" s="9" t="str">
        <x:v>FICT-INV-045-1</x:v>
      </x:c>
      <x:c r="G49" s="9" t="str">
        <x:v>Reported Paid</x:v>
      </x:c>
      <x:c r="H49" s="12" t="n">
        <x:v>1300</x:v>
      </x:c>
      <x:c r="I49" s="13" t="str">
        <x:v>Itemized record from the dispute support file; financial-system confirmation required.</x:v>
      </x:c>
    </x:row>
    <x:row r="50">
      <x:c r="A50" s="13" t="str">
        <x:v>Mar 15, 2026 – 1st Cycle</x:v>
      </x:c>
      <x:c r="B50" s="10" t="n">
        <x:v>46096</x:v>
      </x:c>
      <x:c r="C50" s="9" t="n">
        <x:f>YEAR(B50)</x:f>
        <x:v>2026</x:v>
      </x:c>
      <x:c r="D50" s="9" t="str">
        <x:f>TEXT(B50,"yyyy-mm")</x:f>
        <x:v>2026-03</x:v>
      </x:c>
      <x:c r="E50" s="9" t="str">
        <x:v>Service Area 5</x:v>
      </x:c>
      <x:c r="F50" s="9" t="str">
        <x:v>FICT-INV-046-1</x:v>
      </x:c>
      <x:c r="G50" s="9" t="str">
        <x:v>Reported Paid</x:v>
      </x:c>
      <x:c r="H50" s="12" t="n">
        <x:v>5150</x:v>
      </x:c>
      <x:c r="I50" s="13" t="str">
        <x:v>Itemized record from the dispute support file; financial-system confirmation required.</x:v>
      </x:c>
    </x:row>
    <x:row r="51">
      <x:c r="A51" s="13" t="str">
        <x:v>Mar 15, 2026 – 1st Cycle</x:v>
      </x:c>
      <x:c r="B51" s="10" t="n">
        <x:v>46096</x:v>
      </x:c>
      <x:c r="C51" s="9" t="n">
        <x:f>YEAR(B51)</x:f>
        <x:v>2026</x:v>
      </x:c>
      <x:c r="D51" s="9" t="str">
        <x:f>TEXT(B51,"yyyy-mm")</x:f>
        <x:v>2026-03</x:v>
      </x:c>
      <x:c r="E51" s="9" t="str">
        <x:v>Service Area 6</x:v>
      </x:c>
      <x:c r="F51" s="9" t="str">
        <x:v>FICT-INV-047-1</x:v>
      </x:c>
      <x:c r="G51" s="9" t="str">
        <x:v>Reported Paid</x:v>
      </x:c>
      <x:c r="H51" s="12" t="n">
        <x:v>1025</x:v>
      </x:c>
      <x:c r="I51" s="13" t="str">
        <x:v>Itemized record from the dispute support file; financial-system confirmation required.</x:v>
      </x:c>
    </x:row>
    <x:row r="52">
      <x:c r="A52" s="13" t="str">
        <x:v>Mar 15, 2026 – 1st Cycle</x:v>
      </x:c>
      <x:c r="B52" s="10" t="n">
        <x:v>46096</x:v>
      </x:c>
      <x:c r="C52" s="9" t="n">
        <x:f>YEAR(B52)</x:f>
        <x:v>2026</x:v>
      </x:c>
      <x:c r="D52" s="9" t="str">
        <x:f>TEXT(B52,"yyyy-mm")</x:f>
        <x:v>2026-03</x:v>
      </x:c>
      <x:c r="E52" s="9" t="str">
        <x:v>Service Area 7</x:v>
      </x:c>
      <x:c r="F52" s="9" t="str">
        <x:v>FICT-INV-048-1</x:v>
      </x:c>
      <x:c r="G52" s="9" t="str">
        <x:v>Reported Paid</x:v>
      </x:c>
      <x:c r="H52" s="12" t="n">
        <x:v>1345</x:v>
      </x:c>
      <x:c r="I52" s="13" t="str">
        <x:v>Itemized record from the dispute support file; financial-system confirmation required.</x:v>
      </x:c>
    </x:row>
    <x:row r="53">
      <x:c r="A53" s="13" t="str">
        <x:v>Mar 31, 2026 – 2nd Cycle</x:v>
      </x:c>
      <x:c r="B53" s="10" t="n">
        <x:v>46112</x:v>
      </x:c>
      <x:c r="C53" s="9" t="n">
        <x:f>YEAR(B53)</x:f>
        <x:v>2026</x:v>
      </x:c>
      <x:c r="D53" s="9" t="str">
        <x:f>TEXT(B53,"yyyy-mm")</x:f>
        <x:v>2026-03</x:v>
      </x:c>
      <x:c r="E53" s="9" t="str">
        <x:v>Service Area 1</x:v>
      </x:c>
      <x:c r="F53" s="9" t="str">
        <x:v>FICT-INV-049-1, FICT-INV-049-2</x:v>
      </x:c>
      <x:c r="G53" s="9" t="str">
        <x:v>Reported Paid</x:v>
      </x:c>
      <x:c r="H53" s="12" t="n">
        <x:v>1230</x:v>
      </x:c>
      <x:c r="I53" s="13" t="str">
        <x:v>Itemized record from the dispute support file; financial-system confirmation required.</x:v>
      </x:c>
    </x:row>
    <x:row r="54">
      <x:c r="A54" s="13" t="str">
        <x:v>Mar 31, 2026 – 2nd Cycle</x:v>
      </x:c>
      <x:c r="B54" s="10" t="n">
        <x:v>46112</x:v>
      </x:c>
      <x:c r="C54" s="9" t="n">
        <x:f>YEAR(B54)</x:f>
        <x:v>2026</x:v>
      </x:c>
      <x:c r="D54" s="9" t="str">
        <x:f>TEXT(B54,"yyyy-mm")</x:f>
        <x:v>2026-03</x:v>
      </x:c>
      <x:c r="E54" s="9" t="str">
        <x:v>Service Area 4</x:v>
      </x:c>
      <x:c r="F54" s="9" t="str">
        <x:v>FICT-INV-050-1, FICT-INV-050-2</x:v>
      </x:c>
      <x:c r="G54" s="9" t="str">
        <x:v>Reported Paid</x:v>
      </x:c>
      <x:c r="H54" s="12" t="n">
        <x:v>1415</x:v>
      </x:c>
      <x:c r="I54" s="13" t="str">
        <x:v>Itemized record from the dispute support file; financial-system confirmation required.</x:v>
      </x:c>
    </x:row>
    <x:row r="55">
      <x:c r="A55" s="13" t="str">
        <x:v>Mar 31, 2026 – 2nd Cycle</x:v>
      </x:c>
      <x:c r="B55" s="10" t="n">
        <x:v>46112</x:v>
      </x:c>
      <x:c r="C55" s="9" t="n">
        <x:f>YEAR(B55)</x:f>
        <x:v>2026</x:v>
      </x:c>
      <x:c r="D55" s="9" t="str">
        <x:f>TEXT(B55,"yyyy-mm")</x:f>
        <x:v>2026-03</x:v>
      </x:c>
      <x:c r="E55" s="9" t="str">
        <x:v>Service Area 5</x:v>
      </x:c>
      <x:c r="F55" s="9" t="str">
        <x:v>FICT-INV-051-1, FICT-INV-051-2</x:v>
      </x:c>
      <x:c r="G55" s="9" t="str">
        <x:v>Reported Paid</x:v>
      </x:c>
      <x:c r="H55" s="12" t="n">
        <x:v>3460</x:v>
      </x:c>
      <x:c r="I55" s="13" t="str">
        <x:v>Itemized record from the dispute support file; financial-system confirmation required.</x:v>
      </x:c>
    </x:row>
    <x:row r="56">
      <x:c r="A56" s="13" t="str">
        <x:v>Mar 31, 2026 – 2nd Cycle</x:v>
      </x:c>
      <x:c r="B56" s="10" t="n">
        <x:v>46112</x:v>
      </x:c>
      <x:c r="C56" s="9" t="n">
        <x:f>YEAR(B56)</x:f>
        <x:v>2026</x:v>
      </x:c>
      <x:c r="D56" s="9" t="str">
        <x:f>TEXT(B56,"yyyy-mm")</x:f>
        <x:v>2026-03</x:v>
      </x:c>
      <x:c r="E56" s="9" t="str">
        <x:v>Service Area 6</x:v>
      </x:c>
      <x:c r="F56" s="9" t="str">
        <x:v>FICT-INV-052-1, FICT-INV-052-2</x:v>
      </x:c>
      <x:c r="G56" s="9" t="str">
        <x:v>Reported Paid</x:v>
      </x:c>
      <x:c r="H56" s="12" t="n">
        <x:v>1035</x:v>
      </x:c>
      <x:c r="I56" s="13" t="str">
        <x:v>Itemized record from the dispute support file; financial-system confirmation required.</x:v>
      </x:c>
    </x:row>
    <x:row r="57">
      <x:c r="A57" s="13" t="str">
        <x:v>Mar 31, 2026 – 2nd Cycle</x:v>
      </x:c>
      <x:c r="B57" s="10" t="n">
        <x:v>46112</x:v>
      </x:c>
      <x:c r="C57" s="9" t="n">
        <x:f>YEAR(B57)</x:f>
        <x:v>2026</x:v>
      </x:c>
      <x:c r="D57" s="9" t="str">
        <x:f>TEXT(B57,"yyyy-mm")</x:f>
        <x:v>2026-03</x:v>
      </x:c>
      <x:c r="E57" s="9" t="str">
        <x:v>Service Area 7</x:v>
      </x:c>
      <x:c r="F57" s="9" t="str">
        <x:v>FICT-INV-053-1, FICT-INV-053-2</x:v>
      </x:c>
      <x:c r="G57" s="9" t="str">
        <x:v>Reported Paid</x:v>
      </x:c>
      <x:c r="H57" s="12" t="n">
        <x:v>1267</x:v>
      </x:c>
      <x:c r="I57" s="13" t="str">
        <x:v>Itemized record from the dispute support file; financial-system confirmation required.</x:v>
      </x:c>
    </x:row>
    <x:row r="58">
      <x:c r="A58" s="13" t="str">
        <x:v>Apr 15, 2026 – 1st Cycle</x:v>
      </x:c>
      <x:c r="B58" s="10" t="n">
        <x:v>46127</x:v>
      </x:c>
      <x:c r="C58" s="9" t="n">
        <x:f>YEAR(B58)</x:f>
        <x:v>2026</x:v>
      </x:c>
      <x:c r="D58" s="9" t="str">
        <x:f>TEXT(B58,"yyyy-mm")</x:f>
        <x:v>2026-04</x:v>
      </x:c>
      <x:c r="E58" s="9" t="str">
        <x:v>Service Area 1</x:v>
      </x:c>
      <x:c r="F58" s="9" t="str">
        <x:v>FICT-INV-054-1</x:v>
      </x:c>
      <x:c r="G58" s="9" t="str">
        <x:v>Reported Paid</x:v>
      </x:c>
      <x:c r="H58" s="12" t="n">
        <x:v>1185</x:v>
      </x:c>
      <x:c r="I58" s="13" t="str">
        <x:v>Itemized record from the dispute support file; financial-system confirmation required.</x:v>
      </x:c>
    </x:row>
    <x:row r="59">
      <x:c r="A59" s="13" t="str">
        <x:v>Apr 15, 2026 – 1st Cycle</x:v>
      </x:c>
      <x:c r="B59" s="10" t="n">
        <x:v>46127</x:v>
      </x:c>
      <x:c r="C59" s="9" t="n">
        <x:f>YEAR(B59)</x:f>
        <x:v>2026</x:v>
      </x:c>
      <x:c r="D59" s="9" t="str">
        <x:f>TEXT(B59,"yyyy-mm")</x:f>
        <x:v>2026-04</x:v>
      </x:c>
      <x:c r="E59" s="9" t="str">
        <x:v>Service Area 4</x:v>
      </x:c>
      <x:c r="F59" s="9" t="str">
        <x:v>FICT-INV-055-1</x:v>
      </x:c>
      <x:c r="G59" s="9" t="str">
        <x:v>Reported Paid</x:v>
      </x:c>
      <x:c r="H59" s="12" t="n">
        <x:v>1300</x:v>
      </x:c>
      <x:c r="I59" s="13" t="str">
        <x:v>Itemized record from the dispute support file; financial-system confirmation required.</x:v>
      </x:c>
    </x:row>
    <x:row r="60">
      <x:c r="A60" s="13" t="str">
        <x:v>Apr 15, 2026 – 1st Cycle</x:v>
      </x:c>
      <x:c r="B60" s="10" t="n">
        <x:v>46127</x:v>
      </x:c>
      <x:c r="C60" s="9" t="n">
        <x:f>YEAR(B60)</x:f>
        <x:v>2026</x:v>
      </x:c>
      <x:c r="D60" s="9" t="str">
        <x:f>TEXT(B60,"yyyy-mm")</x:f>
        <x:v>2026-04</x:v>
      </x:c>
      <x:c r="E60" s="9" t="str">
        <x:v>Service Area 5</x:v>
      </x:c>
      <x:c r="F60" s="9" t="str">
        <x:v>FICT-INV-056-1</x:v>
      </x:c>
      <x:c r="G60" s="9" t="str">
        <x:v>Reported Paid</x:v>
      </x:c>
      <x:c r="H60" s="12" t="n">
        <x:v>5150</x:v>
      </x:c>
      <x:c r="I60" s="13" t="str">
        <x:v>Itemized record from the dispute support file; financial-system confirmation required.</x:v>
      </x:c>
    </x:row>
    <x:row r="61">
      <x:c r="A61" s="13" t="str">
        <x:v>Apr 15, 2026 – 1st Cycle</x:v>
      </x:c>
      <x:c r="B61" s="10" t="n">
        <x:v>46127</x:v>
      </x:c>
      <x:c r="C61" s="9" t="n">
        <x:f>YEAR(B61)</x:f>
        <x:v>2026</x:v>
      </x:c>
      <x:c r="D61" s="9" t="str">
        <x:f>TEXT(B61,"yyyy-mm")</x:f>
        <x:v>2026-04</x:v>
      </x:c>
      <x:c r="E61" s="9" t="str">
        <x:v>Service Area 6</x:v>
      </x:c>
      <x:c r="F61" s="9" t="str">
        <x:v>FICT-INV-057-1</x:v>
      </x:c>
      <x:c r="G61" s="9" t="str">
        <x:v>Reported Paid</x:v>
      </x:c>
      <x:c r="H61" s="12" t="n">
        <x:v>1025</x:v>
      </x:c>
      <x:c r="I61" s="13" t="str">
        <x:v>Itemized record from the dispute support file; financial-system confirmation required.</x:v>
      </x:c>
    </x:row>
    <x:row r="62">
      <x:c r="A62" s="13" t="str">
        <x:v>Apr 15, 2026 – 1st Cycle</x:v>
      </x:c>
      <x:c r="B62" s="10" t="n">
        <x:v>46127</x:v>
      </x:c>
      <x:c r="C62" s="9" t="n">
        <x:f>YEAR(B62)</x:f>
        <x:v>2026</x:v>
      </x:c>
      <x:c r="D62" s="9" t="str">
        <x:f>TEXT(B62,"yyyy-mm")</x:f>
        <x:v>2026-04</x:v>
      </x:c>
      <x:c r="E62" s="9" t="str">
        <x:v>Service Area 7</x:v>
      </x:c>
      <x:c r="F62" s="9" t="str">
        <x:v>FICT-INV-058-1</x:v>
      </x:c>
      <x:c r="G62" s="9" t="str">
        <x:v>Reported Paid</x:v>
      </x:c>
      <x:c r="H62" s="12" t="n">
        <x:v>1345</x:v>
      </x:c>
      <x:c r="I62" s="13" t="str">
        <x:v>Itemized record from the dispute support file; financial-system confirmation required.</x:v>
      </x:c>
    </x:row>
    <x:row r="63">
      <x:c r="A63" s="13" t="str">
        <x:v>Apr 30, 2026 – 2nd Cycle</x:v>
      </x:c>
      <x:c r="B63" s="10" t="n">
        <x:v>46142</x:v>
      </x:c>
      <x:c r="C63" s="9" t="n">
        <x:f>YEAR(B63)</x:f>
        <x:v>2026</x:v>
      </x:c>
      <x:c r="D63" s="9" t="str">
        <x:f>TEXT(B63,"yyyy-mm")</x:f>
        <x:v>2026-04</x:v>
      </x:c>
      <x:c r="E63" s="9" t="str">
        <x:v>Service Area 1</x:v>
      </x:c>
      <x:c r="F63" s="9" t="str">
        <x:v>FICT-INV-059-1, FICT-INV-059-2</x:v>
      </x:c>
      <x:c r="G63" s="9" t="str">
        <x:v>Reported Paid</x:v>
      </x:c>
      <x:c r="H63" s="12" t="n">
        <x:v>1230</x:v>
      </x:c>
      <x:c r="I63" s="13" t="str">
        <x:v>Itemized record from the dispute support file; financial-system confirmation required.</x:v>
      </x:c>
    </x:row>
    <x:row r="64">
      <x:c r="A64" s="13" t="str">
        <x:v>Apr 30, 2026 – 2nd Cycle</x:v>
      </x:c>
      <x:c r="B64" s="10" t="n">
        <x:v>46142</x:v>
      </x:c>
      <x:c r="C64" s="9" t="n">
        <x:f>YEAR(B64)</x:f>
        <x:v>2026</x:v>
      </x:c>
      <x:c r="D64" s="9" t="str">
        <x:f>TEXT(B64,"yyyy-mm")</x:f>
        <x:v>2026-04</x:v>
      </x:c>
      <x:c r="E64" s="9" t="str">
        <x:v>Service Area 4</x:v>
      </x:c>
      <x:c r="F64" s="9" t="str">
        <x:v>FICT-INV-060-1, FICT-INV-060-2</x:v>
      </x:c>
      <x:c r="G64" s="9" t="str">
        <x:v>Reported Paid</x:v>
      </x:c>
      <x:c r="H64" s="12" t="n">
        <x:v>1415</x:v>
      </x:c>
      <x:c r="I64" s="13" t="str">
        <x:v>Itemized record from the dispute support file; financial-system confirmation required.</x:v>
      </x:c>
    </x:row>
    <x:row r="65">
      <x:c r="A65" s="13" t="str">
        <x:v>Apr 30, 2026 – 2nd Cycle</x:v>
      </x:c>
      <x:c r="B65" s="10" t="n">
        <x:v>46142</x:v>
      </x:c>
      <x:c r="C65" s="9" t="n">
        <x:f>YEAR(B65)</x:f>
        <x:v>2026</x:v>
      </x:c>
      <x:c r="D65" s="9" t="str">
        <x:f>TEXT(B65,"yyyy-mm")</x:f>
        <x:v>2026-04</x:v>
      </x:c>
      <x:c r="E65" s="9" t="str">
        <x:v>Service Area 5</x:v>
      </x:c>
      <x:c r="F65" s="9" t="str">
        <x:v>FICT-INV-061-1, FICT-INV-061-2</x:v>
      </x:c>
      <x:c r="G65" s="9" t="str">
        <x:v>Reported Paid</x:v>
      </x:c>
      <x:c r="H65" s="12" t="n">
        <x:v>3460</x:v>
      </x:c>
      <x:c r="I65" s="13" t="str">
        <x:v>Itemized record from the dispute support file; financial-system confirmation required.</x:v>
      </x:c>
    </x:row>
    <x:row r="66">
      <x:c r="A66" s="13" t="str">
        <x:v>Apr 30, 2026 – 2nd Cycle</x:v>
      </x:c>
      <x:c r="B66" s="10" t="n">
        <x:v>46142</x:v>
      </x:c>
      <x:c r="C66" s="9" t="n">
        <x:f>YEAR(B66)</x:f>
        <x:v>2026</x:v>
      </x:c>
      <x:c r="D66" s="9" t="str">
        <x:f>TEXT(B66,"yyyy-mm")</x:f>
        <x:v>2026-04</x:v>
      </x:c>
      <x:c r="E66" s="9" t="str">
        <x:v>Service Area 6</x:v>
      </x:c>
      <x:c r="F66" s="9" t="str">
        <x:v>FICT-INV-062-1, FICT-INV-062-2</x:v>
      </x:c>
      <x:c r="G66" s="9" t="str">
        <x:v>Reported Paid</x:v>
      </x:c>
      <x:c r="H66" s="12" t="n">
        <x:v>1035</x:v>
      </x:c>
      <x:c r="I66" s="13" t="str">
        <x:v>Itemized record from the dispute support file; financial-system confirmation required.</x:v>
      </x:c>
    </x:row>
    <x:row r="67">
      <x:c r="A67" s="13" t="str">
        <x:v>Apr 30, 2026 – 2nd Cycle</x:v>
      </x:c>
      <x:c r="B67" s="10" t="n">
        <x:v>46142</x:v>
      </x:c>
      <x:c r="C67" s="9" t="n">
        <x:f>YEAR(B67)</x:f>
        <x:v>2026</x:v>
      </x:c>
      <x:c r="D67" s="9" t="str">
        <x:f>TEXT(B67,"yyyy-mm")</x:f>
        <x:v>2026-04</x:v>
      </x:c>
      <x:c r="E67" s="9" t="str">
        <x:v>Service Area 7</x:v>
      </x:c>
      <x:c r="F67" s="9" t="str">
        <x:v>FICT-INV-063-1, FICT-INV-063-2</x:v>
      </x:c>
      <x:c r="G67" s="9" t="str">
        <x:v>Reported Paid</x:v>
      </x:c>
      <x:c r="H67" s="12" t="n">
        <x:v>1267</x:v>
      </x:c>
      <x:c r="I67" s="13" t="str">
        <x:v>Itemized record from the dispute support file; financial-system confirmation required.</x:v>
      </x:c>
    </x:row>
    <x:row r="68">
      <x:c r="A68" s="13" t="str">
        <x:v>May 15, 2026 – 1st Cycle</x:v>
      </x:c>
      <x:c r="B68" s="10" t="n">
        <x:v>46157</x:v>
      </x:c>
      <x:c r="C68" s="9" t="n">
        <x:f>YEAR(B68)</x:f>
        <x:v>2026</x:v>
      </x:c>
      <x:c r="D68" s="9" t="str">
        <x:f>TEXT(B68,"yyyy-mm")</x:f>
        <x:v>2026-05</x:v>
      </x:c>
      <x:c r="E68" s="9" t="str">
        <x:v>Service Area 1</x:v>
      </x:c>
      <x:c r="F68" s="9" t="str">
        <x:v>FICT-INV-064-1</x:v>
      </x:c>
      <x:c r="G68" s="9" t="str">
        <x:v>Reported Paid</x:v>
      </x:c>
      <x:c r="H68" s="12" t="n">
        <x:v>1185</x:v>
      </x:c>
      <x:c r="I68" s="13" t="str">
        <x:v>Itemized record from the dispute support file; financial-system confirmation required.</x:v>
      </x:c>
    </x:row>
    <x:row r="69">
      <x:c r="A69" s="13" t="str">
        <x:v>May 15, 2026 – 1st Cycle</x:v>
      </x:c>
      <x:c r="B69" s="10" t="n">
        <x:v>46157</x:v>
      </x:c>
      <x:c r="C69" s="9" t="n">
        <x:f>YEAR(B69)</x:f>
        <x:v>2026</x:v>
      </x:c>
      <x:c r="D69" s="9" t="str">
        <x:f>TEXT(B69,"yyyy-mm")</x:f>
        <x:v>2026-05</x:v>
      </x:c>
      <x:c r="E69" s="9" t="str">
        <x:v>Service Area 4</x:v>
      </x:c>
      <x:c r="F69" s="9" t="str">
        <x:v>FICT-INV-065-1</x:v>
      </x:c>
      <x:c r="G69" s="9" t="str">
        <x:v>Reported Paid</x:v>
      </x:c>
      <x:c r="H69" s="12" t="n">
        <x:v>1300</x:v>
      </x:c>
      <x:c r="I69" s="13" t="str">
        <x:v>Itemized record from the dispute support file; financial-system confirmation required.</x:v>
      </x:c>
    </x:row>
    <x:row r="70">
      <x:c r="A70" s="13" t="str">
        <x:v>May 15, 2026 – 1st Cycle</x:v>
      </x:c>
      <x:c r="B70" s="10" t="n">
        <x:v>46157</x:v>
      </x:c>
      <x:c r="C70" s="9" t="n">
        <x:f>YEAR(B70)</x:f>
        <x:v>2026</x:v>
      </x:c>
      <x:c r="D70" s="9" t="str">
        <x:f>TEXT(B70,"yyyy-mm")</x:f>
        <x:v>2026-05</x:v>
      </x:c>
      <x:c r="E70" s="9" t="str">
        <x:v>Service Area 5</x:v>
      </x:c>
      <x:c r="F70" s="9" t="str">
        <x:v>FICT-INV-066-1</x:v>
      </x:c>
      <x:c r="G70" s="9" t="str">
        <x:v>Reported Paid</x:v>
      </x:c>
      <x:c r="H70" s="12" t="n">
        <x:v>5150</x:v>
      </x:c>
      <x:c r="I70" s="13" t="str">
        <x:v>Itemized record from the dispute support file; financial-system confirmation required.</x:v>
      </x:c>
    </x:row>
    <x:row r="71">
      <x:c r="A71" s="13" t="str">
        <x:v>May 15, 2026 – 1st Cycle</x:v>
      </x:c>
      <x:c r="B71" s="10" t="n">
        <x:v>46157</x:v>
      </x:c>
      <x:c r="C71" s="9" t="n">
        <x:f>YEAR(B71)</x:f>
        <x:v>2026</x:v>
      </x:c>
      <x:c r="D71" s="9" t="str">
        <x:f>TEXT(B71,"yyyy-mm")</x:f>
        <x:v>2026-05</x:v>
      </x:c>
      <x:c r="E71" s="9" t="str">
        <x:v>Service Area 6</x:v>
      </x:c>
      <x:c r="F71" s="9" t="str">
        <x:v>FICT-INV-067-1</x:v>
      </x:c>
      <x:c r="G71" s="9" t="str">
        <x:v>Reported Paid</x:v>
      </x:c>
      <x:c r="H71" s="12" t="n">
        <x:v>1025</x:v>
      </x:c>
      <x:c r="I71" s="13" t="str">
        <x:v>Itemized record from the dispute support file; financial-system confirmation required.</x:v>
      </x:c>
    </x:row>
    <x:row r="72">
      <x:c r="A72" s="13" t="str">
        <x:v>May 15, 2026 – 1st Cycle</x:v>
      </x:c>
      <x:c r="B72" s="10" t="n">
        <x:v>46157</x:v>
      </x:c>
      <x:c r="C72" s="9" t="n">
        <x:f>YEAR(B72)</x:f>
        <x:v>2026</x:v>
      </x:c>
      <x:c r="D72" s="9" t="str">
        <x:f>TEXT(B72,"yyyy-mm")</x:f>
        <x:v>2026-05</x:v>
      </x:c>
      <x:c r="E72" s="9" t="str">
        <x:v>Service Area 7</x:v>
      </x:c>
      <x:c r="F72" s="9" t="str">
        <x:v>FICT-INV-068-1</x:v>
      </x:c>
      <x:c r="G72" s="9" t="str">
        <x:v>Reported Paid</x:v>
      </x:c>
      <x:c r="H72" s="12" t="n">
        <x:v>1345</x:v>
      </x:c>
      <x:c r="I72" s="13" t="str">
        <x:v>Itemized record from the dispute support file; financial-system confirmation required.</x:v>
      </x:c>
    </x:row>
    <x:row r="73">
      <x:c r="A73" s="13" t="str">
        <x:v>May 30, 2026 – 2nd Cycle</x:v>
      </x:c>
      <x:c r="B73" s="10" t="n">
        <x:v>46172</x:v>
      </x:c>
      <x:c r="C73" s="9" t="n">
        <x:f>YEAR(B73)</x:f>
        <x:v>2026</x:v>
      </x:c>
      <x:c r="D73" s="9" t="str">
        <x:f>TEXT(B73,"yyyy-mm")</x:f>
        <x:v>2026-05</x:v>
      </x:c>
      <x:c r="E73" s="9" t="str">
        <x:v>Service Area 1</x:v>
      </x:c>
      <x:c r="F73" s="9" t="str">
        <x:v>FICT-INV-069-1, FICT-INV-069-2</x:v>
      </x:c>
      <x:c r="G73" s="9" t="str">
        <x:v>Reported Paid</x:v>
      </x:c>
      <x:c r="H73" s="12" t="n">
        <x:v>1230</x:v>
      </x:c>
      <x:c r="I73" s="13" t="str">
        <x:v>Itemized record from the dispute support file; financial-system confirmation required.</x:v>
      </x:c>
    </x:row>
    <x:row r="74">
      <x:c r="A74" s="13" t="str">
        <x:v>May 30, 2026 – 2nd Cycle</x:v>
      </x:c>
      <x:c r="B74" s="10" t="n">
        <x:v>46172</x:v>
      </x:c>
      <x:c r="C74" s="9" t="n">
        <x:f>YEAR(B74)</x:f>
        <x:v>2026</x:v>
      </x:c>
      <x:c r="D74" s="9" t="str">
        <x:f>TEXT(B74,"yyyy-mm")</x:f>
        <x:v>2026-05</x:v>
      </x:c>
      <x:c r="E74" s="9" t="str">
        <x:v>Service Area 4</x:v>
      </x:c>
      <x:c r="F74" s="9" t="str">
        <x:v>FICT-INV-070-1, FICT-INV-070-2</x:v>
      </x:c>
      <x:c r="G74" s="9" t="str">
        <x:v>Reported Paid</x:v>
      </x:c>
      <x:c r="H74" s="12" t="n">
        <x:v>1415</x:v>
      </x:c>
      <x:c r="I74" s="13" t="str">
        <x:v>Itemized record from the dispute support file; financial-system confirmation required.</x:v>
      </x:c>
    </x:row>
    <x:row r="75">
      <x:c r="A75" s="13" t="str">
        <x:v>May 30, 2026 – 2nd Cycle</x:v>
      </x:c>
      <x:c r="B75" s="10" t="n">
        <x:v>46172</x:v>
      </x:c>
      <x:c r="C75" s="9" t="n">
        <x:f>YEAR(B75)</x:f>
        <x:v>2026</x:v>
      </x:c>
      <x:c r="D75" s="9" t="str">
        <x:f>TEXT(B75,"yyyy-mm")</x:f>
        <x:v>2026-05</x:v>
      </x:c>
      <x:c r="E75" s="9" t="str">
        <x:v>Service Area 6</x:v>
      </x:c>
      <x:c r="F75" s="9" t="str">
        <x:v>FICT-INV-071-1, FICT-INV-071-2</x:v>
      </x:c>
      <x:c r="G75" s="9" t="str">
        <x:v>Reported Paid</x:v>
      </x:c>
      <x:c r="H75" s="12" t="n">
        <x:v>1035</x:v>
      </x:c>
      <x:c r="I75" s="13" t="str">
        <x:v>Itemized record from the dispute support file; financial-system confirmation required.</x:v>
      </x:c>
    </x:row>
    <x:row r="76">
      <x:c r="A76" s="13" t="str">
        <x:v>May 30, 2026 – 2nd Cycle</x:v>
      </x:c>
      <x:c r="B76" s="10" t="n">
        <x:v>46172</x:v>
      </x:c>
      <x:c r="C76" s="9" t="n">
        <x:f>YEAR(B76)</x:f>
        <x:v>2026</x:v>
      </x:c>
      <x:c r="D76" s="9" t="str">
        <x:f>TEXT(B76,"yyyy-mm")</x:f>
        <x:v>2026-05</x:v>
      </x:c>
      <x:c r="E76" s="9" t="str">
        <x:v>Service Area 7</x:v>
      </x:c>
      <x:c r="F76" s="9" t="str">
        <x:v>FICT-INV-072-1, FICT-INV-072-2</x:v>
      </x:c>
      <x:c r="G76" s="9" t="str">
        <x:v>Reported Paid</x:v>
      </x:c>
      <x:c r="H76" s="12" t="n">
        <x:v>1267</x:v>
      </x:c>
      <x:c r="I76" s="13" t="str">
        <x:v>Itemized record from the dispute support file; financial-system confirmation required.</x:v>
      </x:c>
    </x:row>
    <x:row r="77">
      <x:c r="A77" s="13" t="str">
        <x:v>Jun 15, 2026 – 1st Cycle</x:v>
      </x:c>
      <x:c r="B77" s="10" t="n">
        <x:v>46188</x:v>
      </x:c>
      <x:c r="C77" s="9" t="n">
        <x:f>YEAR(B77)</x:f>
        <x:v>2026</x:v>
      </x:c>
      <x:c r="D77" s="9" t="str">
        <x:f>TEXT(B77,"yyyy-mm")</x:f>
        <x:v>2026-06</x:v>
      </x:c>
      <x:c r="E77" s="9" t="str">
        <x:v>Service Area 5</x:v>
      </x:c>
      <x:c r="F77" s="9" t="str">
        <x:v>FICT-INV-073-1</x:v>
      </x:c>
      <x:c r="G77" s="9" t="str">
        <x:v>Reported Paid</x:v>
      </x:c>
      <x:c r="H77" s="12" t="n">
        <x:v>5150</x:v>
      </x:c>
      <x:c r="I77" s="13" t="str">
        <x:v>Itemized record from the dispute support file; financial-system confirmation required.</x:v>
      </x:c>
    </x:row>
    <x:row r="78">
      <x:c r="A78" s="13" t="str">
        <x:v>Jun 30, 2026 – 2nd Cycle</x:v>
      </x:c>
      <x:c r="B78" s="10" t="n">
        <x:v>46203</x:v>
      </x:c>
      <x:c r="C78" s="9" t="n">
        <x:f>YEAR(B78)</x:f>
        <x:v>2026</x:v>
      </x:c>
      <x:c r="D78" s="9" t="str">
        <x:f>TEXT(B78,"yyyy-mm")</x:f>
        <x:v>2026-06</x:v>
      </x:c>
      <x:c r="E78" s="9" t="str">
        <x:v>Service Area 4</x:v>
      </x:c>
      <x:c r="F78" s="9" t="str">
        <x:v>FICT-INV-074-1, FICT-INV-074-2</x:v>
      </x:c>
      <x:c r="G78" s="9" t="str">
        <x:v>Reported Paid</x:v>
      </x:c>
      <x:c r="H78" s="12" t="n">
        <x:v>1415</x:v>
      </x:c>
      <x:c r="I78" s="13" t="str">
        <x:v>Itemized record from the dispute support file; financial-system confirmation required.</x:v>
      </x:c>
    </x:row>
    <x:row r="79">
      <x:c r="A79" s="13" t="str">
        <x:v>Jun 30, 2026 – 2nd Cycle</x:v>
      </x:c>
      <x:c r="B79" s="10" t="n">
        <x:v>46203</x:v>
      </x:c>
      <x:c r="C79" s="9" t="n">
        <x:f>YEAR(B79)</x:f>
        <x:v>2026</x:v>
      </x:c>
      <x:c r="D79" s="9" t="str">
        <x:f>TEXT(B79,"yyyy-mm")</x:f>
        <x:v>2026-06</x:v>
      </x:c>
      <x:c r="E79" s="9" t="str">
        <x:v>Service Area 7</x:v>
      </x:c>
      <x:c r="F79" s="9" t="str">
        <x:v>FICT-INV-075-1, FICT-INV-075-2</x:v>
      </x:c>
      <x:c r="G79" s="9" t="str">
        <x:v>Reported Paid</x:v>
      </x:c>
      <x:c r="H79" s="12" t="n">
        <x:v>1267</x:v>
      </x:c>
      <x:c r="I79" s="13" t="str">
        <x:v>Itemized record from the dispute support file; financial-system confirmation required.</x:v>
      </x:c>
    </x:row>
    <x:row r="80">
      <x:c r="A80" s="13" t="str">
        <x:v>Jul 15, 2026 – 1st Cycle</x:v>
      </x:c>
      <x:c r="B80" s="10" t="n">
        <x:v>46218</x:v>
      </x:c>
      <x:c r="C80" s="9" t="n">
        <x:f>YEAR(B80)</x:f>
        <x:v>2026</x:v>
      </x:c>
      <x:c r="D80" s="9" t="str">
        <x:f>TEXT(B80,"yyyy-mm")</x:f>
        <x:v>2026-07</x:v>
      </x:c>
      <x:c r="E80" s="9" t="str">
        <x:v>Service Area 1</x:v>
      </x:c>
      <x:c r="F80" s="9" t="str">
        <x:v>FICT-INV-076-1</x:v>
      </x:c>
      <x:c r="G80" s="9" t="str">
        <x:v>Reported Paid</x:v>
      </x:c>
      <x:c r="H80" s="12" t="n">
        <x:v>1185</x:v>
      </x:c>
      <x:c r="I80" s="13" t="str">
        <x:v>Itemized record from the dispute support file; financial-system confirmation required.</x:v>
      </x:c>
    </x:row>
    <x:row r="81">
      <x:c r="A81" s="13" t="str">
        <x:v>Jul 15, 2026 – 1st Cycle</x:v>
      </x:c>
      <x:c r="B81" s="10" t="n">
        <x:v>46218</x:v>
      </x:c>
      <x:c r="C81" s="9" t="n">
        <x:f>YEAR(B81)</x:f>
        <x:v>2026</x:v>
      </x:c>
      <x:c r="D81" s="9" t="str">
        <x:f>TEXT(B81,"yyyy-mm")</x:f>
        <x:v>2026-07</x:v>
      </x:c>
      <x:c r="E81" s="9" t="str">
        <x:v>Service Area 4</x:v>
      </x:c>
      <x:c r="F81" s="9" t="str">
        <x:v>FICT-INV-077-1</x:v>
      </x:c>
      <x:c r="G81" s="9" t="str">
        <x:v>Reported Paid</x:v>
      </x:c>
      <x:c r="H81" s="12" t="n">
        <x:v>1300</x:v>
      </x:c>
      <x:c r="I81" s="13" t="str">
        <x:v>Itemized record from the dispute support file; financial-system confirmation required.</x:v>
      </x:c>
    </x:row>
    <x:row r="82">
      <x:c r="A82" s="13" t="str">
        <x:v>Jul 31, 2026 – 2nd Cycle</x:v>
      </x:c>
      <x:c r="B82" s="10" t="n">
        <x:v>46234</x:v>
      </x:c>
      <x:c r="C82" s="9" t="n">
        <x:f>YEAR(B82)</x:f>
        <x:v>2026</x:v>
      </x:c>
      <x:c r="D82" s="9" t="str">
        <x:f>TEXT(B82,"yyyy-mm")</x:f>
        <x:v>2026-07</x:v>
      </x:c>
      <x:c r="E82" s="9" t="str">
        <x:v>Service Area 1</x:v>
      </x:c>
      <x:c r="F82" s="9" t="str">
        <x:v>FICT-INV-078-1, FICT-INV-078-2</x:v>
      </x:c>
      <x:c r="G82" s="9" t="str">
        <x:v>Reported Paid</x:v>
      </x:c>
      <x:c r="H82" s="12" t="n">
        <x:v>1230</x:v>
      </x:c>
      <x:c r="I82" s="13" t="str">
        <x:v>Itemized record from the dispute support file; financial-system confirmation required.</x:v>
      </x:c>
    </x:row>
    <x:row r="83">
      <x:c r="A83" s="13" t="str">
        <x:v>Jul 31, 2026 – 2nd Cycle</x:v>
      </x:c>
      <x:c r="B83" s="10" t="n">
        <x:v>46234</x:v>
      </x:c>
      <x:c r="C83" s="9" t="n">
        <x:f>YEAR(B83)</x:f>
        <x:v>2026</x:v>
      </x:c>
      <x:c r="D83" s="9" t="str">
        <x:f>TEXT(B83,"yyyy-mm")</x:f>
        <x:v>2026-07</x:v>
      </x:c>
      <x:c r="E83" s="9" t="str">
        <x:v>Service Area 4</x:v>
      </x:c>
      <x:c r="F83" s="9" t="str">
        <x:v>FICT-INV-079-1, FICT-INV-079-2</x:v>
      </x:c>
      <x:c r="G83" s="9" t="str">
        <x:v>Reported Paid</x:v>
      </x:c>
      <x:c r="H83" s="12" t="n">
        <x:v>1415</x:v>
      </x:c>
      <x:c r="I83" s="13" t="str">
        <x:v>Itemized record from the dispute support file; financial-system confirmation required.</x:v>
      </x:c>
    </x:row>
    <x:row r="84">
      <x:c r="A84" s="13" t="str">
        <x:v>Jul 31, 2026 – 1st Cycle</x:v>
      </x:c>
      <x:c r="B84" s="10" t="n">
        <x:v>46234</x:v>
      </x:c>
      <x:c r="C84" s="9" t="n">
        <x:f>YEAR(B84)</x:f>
        <x:v>2026</x:v>
      </x:c>
      <x:c r="D84" s="9" t="str">
        <x:f>TEXT(B84,"yyyy-mm")</x:f>
        <x:v>2026-07</x:v>
      </x:c>
      <x:c r="E84" s="9" t="str">
        <x:v>Service Area 7</x:v>
      </x:c>
      <x:c r="F84" s="9" t="str">
        <x:v>FICT-INV-080-1</x:v>
      </x:c>
      <x:c r="G84" s="9" t="str">
        <x:v>Reported Paid</x:v>
      </x:c>
      <x:c r="H84" s="12" t="n">
        <x:v>1267</x:v>
      </x:c>
      <x:c r="I84" s="13" t="str">
        <x:v>Itemized record from the dispute support file; financial-system confirmation required.</x:v>
      </x:c>
    </x:row>
    <x:row r="85">
      <x:c r="A85" s="13" t="str">
        <x:v>May 30, 2026 – 2nd Cycle</x:v>
      </x:c>
      <x:c r="B85" s="10" t="n">
        <x:v>46172</x:v>
      </x:c>
      <x:c r="C85" s="9" t="n">
        <x:f>YEAR(B85)</x:f>
        <x:v>2026</x:v>
      </x:c>
      <x:c r="D85" s="9" t="str">
        <x:f>TEXT(B85,"yyyy-mm")</x:f>
        <x:v>2026-05</x:v>
      </x:c>
      <x:c r="E85" s="9" t="str">
        <x:v>Service Area 5</x:v>
      </x:c>
      <x:c r="F85" s="9" t="str">
        <x:v>FICT-INV-081-1, FICT-INV-081-2</x:v>
      </x:c>
      <x:c r="G85" s="9" t="str">
        <x:v>Reported Denied</x:v>
      </x:c>
      <x:c r="H85" s="12" t="n">
        <x:v>3460</x:v>
      </x:c>
      <x:c r="I85" s="13" t="str">
        <x:v>Itemized record from the dispute support file; financial-system confirmation required.</x:v>
      </x:c>
    </x:row>
    <x:row r="86">
      <x:c r="A86" s="13" t="str">
        <x:v>Jun 15, 2026 – 1st Cycle</x:v>
      </x:c>
      <x:c r="B86" s="10" t="n">
        <x:v>46188</x:v>
      </x:c>
      <x:c r="C86" s="9" t="n">
        <x:f>YEAR(B86)</x:f>
        <x:v>2026</x:v>
      </x:c>
      <x:c r="D86" s="9" t="str">
        <x:f>TEXT(B86,"yyyy-mm")</x:f>
        <x:v>2026-06</x:v>
      </x:c>
      <x:c r="E86" s="9" t="str">
        <x:v>Service Area 1</x:v>
      </x:c>
      <x:c r="F86" s="9" t="str">
        <x:v>FICT-INV-082-1</x:v>
      </x:c>
      <x:c r="G86" s="9" t="str">
        <x:v>Reported Denied</x:v>
      </x:c>
      <x:c r="H86" s="12" t="n">
        <x:v>1185</x:v>
      </x:c>
      <x:c r="I86" s="13" t="str">
        <x:v>Itemized record from the dispute support file; financial-system confirmation required.</x:v>
      </x:c>
    </x:row>
    <x:row r="87">
      <x:c r="A87" s="13" t="str">
        <x:v>Jun 15, 2026 – 1st Cycle</x:v>
      </x:c>
      <x:c r="B87" s="10" t="n">
        <x:v>46188</x:v>
      </x:c>
      <x:c r="C87" s="9" t="n">
        <x:f>YEAR(B87)</x:f>
        <x:v>2026</x:v>
      </x:c>
      <x:c r="D87" s="9" t="str">
        <x:f>TEXT(B87,"yyyy-mm")</x:f>
        <x:v>2026-06</x:v>
      </x:c>
      <x:c r="E87" s="9" t="str">
        <x:v>Service Area 4</x:v>
      </x:c>
      <x:c r="F87" s="9" t="str">
        <x:v>FICT-INV-083-1</x:v>
      </x:c>
      <x:c r="G87" s="9" t="str">
        <x:v>Reported Denied</x:v>
      </x:c>
      <x:c r="H87" s="12" t="n">
        <x:v>1300</x:v>
      </x:c>
      <x:c r="I87" s="13" t="str">
        <x:v>Itemized record from the dispute support file; financial-system confirmation required.</x:v>
      </x:c>
    </x:row>
    <x:row r="88">
      <x:c r="A88" s="13" t="str">
        <x:v>Jun 15, 2026 – 1st Cycle</x:v>
      </x:c>
      <x:c r="B88" s="10" t="n">
        <x:v>46188</x:v>
      </x:c>
      <x:c r="C88" s="9" t="n">
        <x:f>YEAR(B88)</x:f>
        <x:v>2026</x:v>
      </x:c>
      <x:c r="D88" s="9" t="str">
        <x:f>TEXT(B88,"yyyy-mm")</x:f>
        <x:v>2026-06</x:v>
      </x:c>
      <x:c r="E88" s="9" t="str">
        <x:v>Service Area 6</x:v>
      </x:c>
      <x:c r="F88" s="9" t="str">
        <x:v>FICT-INV-084-1</x:v>
      </x:c>
      <x:c r="G88" s="9" t="str">
        <x:v>Reported Denied</x:v>
      </x:c>
      <x:c r="H88" s="12" t="n">
        <x:v>1025</x:v>
      </x:c>
      <x:c r="I88" s="13" t="str">
        <x:v>Itemized record from the dispute support file; financial-system confirmation required.</x:v>
      </x:c>
    </x:row>
    <x:row r="89">
      <x:c r="A89" s="13" t="str">
        <x:v>Jun 15, 2026 – 1st Cycle</x:v>
      </x:c>
      <x:c r="B89" s="10" t="n">
        <x:v>46188</x:v>
      </x:c>
      <x:c r="C89" s="9" t="n">
        <x:f>YEAR(B89)</x:f>
        <x:v>2026</x:v>
      </x:c>
      <x:c r="D89" s="9" t="str">
        <x:f>TEXT(B89,"yyyy-mm")</x:f>
        <x:v>2026-06</x:v>
      </x:c>
      <x:c r="E89" s="9" t="str">
        <x:v>Service Area 7</x:v>
      </x:c>
      <x:c r="F89" s="9" t="str">
        <x:v>FICT-INV-085-1</x:v>
      </x:c>
      <x:c r="G89" s="9" t="str">
        <x:v>Reported Denied</x:v>
      </x:c>
      <x:c r="H89" s="12" t="n">
        <x:v>1345</x:v>
      </x:c>
      <x:c r="I89" s="13" t="str">
        <x:v>Itemized record from the dispute support file; financial-system confirmation required.</x:v>
      </x:c>
    </x:row>
    <x:row r="90">
      <x:c r="A90" s="13" t="str">
        <x:v>Jun 30, 2026 – 2nd Cycle</x:v>
      </x:c>
      <x:c r="B90" s="10" t="n">
        <x:v>46203</x:v>
      </x:c>
      <x:c r="C90" s="9" t="n">
        <x:f>YEAR(B90)</x:f>
        <x:v>2026</x:v>
      </x:c>
      <x:c r="D90" s="9" t="str">
        <x:f>TEXT(B90,"yyyy-mm")</x:f>
        <x:v>2026-06</x:v>
      </x:c>
      <x:c r="E90" s="9" t="str">
        <x:v>Service Area 1</x:v>
      </x:c>
      <x:c r="F90" s="9" t="str">
        <x:v>FICT-INV-086-1, FICT-INV-086-2</x:v>
      </x:c>
      <x:c r="G90" s="9" t="str">
        <x:v>Reported Denied</x:v>
      </x:c>
      <x:c r="H90" s="12" t="n">
        <x:v>1230</x:v>
      </x:c>
      <x:c r="I90" s="13" t="str">
        <x:v>Itemized record from the dispute support file; financial-system confirmation required.</x:v>
      </x:c>
    </x:row>
    <x:row r="91">
      <x:c r="A91" s="13" t="str">
        <x:v>Jun 30, 2026 – 2nd Cycle</x:v>
      </x:c>
      <x:c r="B91" s="10" t="n">
        <x:v>46203</x:v>
      </x:c>
      <x:c r="C91" s="9" t="n">
        <x:f>YEAR(B91)</x:f>
        <x:v>2026</x:v>
      </x:c>
      <x:c r="D91" s="9" t="str">
        <x:f>TEXT(B91,"yyyy-mm")</x:f>
        <x:v>2026-06</x:v>
      </x:c>
      <x:c r="E91" s="9" t="str">
        <x:v>Service Area 5</x:v>
      </x:c>
      <x:c r="F91" s="9" t="str">
        <x:v>FICT-INV-087-1, FICT-INV-087-2</x:v>
      </x:c>
      <x:c r="G91" s="9" t="str">
        <x:v>Reported Denied</x:v>
      </x:c>
      <x:c r="H91" s="12" t="n">
        <x:v>3460</x:v>
      </x:c>
      <x:c r="I91" s="13" t="str">
        <x:v>Itemized record from the dispute support file; financial-system confirmation required.</x:v>
      </x:c>
    </x:row>
    <x:row r="92">
      <x:c r="A92" s="13" t="str">
        <x:v>Jun 30, 2026 – 2nd Cycle</x:v>
      </x:c>
      <x:c r="B92" s="10" t="n">
        <x:v>46203</x:v>
      </x:c>
      <x:c r="C92" s="9" t="n">
        <x:f>YEAR(B92)</x:f>
        <x:v>2026</x:v>
      </x:c>
      <x:c r="D92" s="9" t="str">
        <x:f>TEXT(B92,"yyyy-mm")</x:f>
        <x:v>2026-06</x:v>
      </x:c>
      <x:c r="E92" s="9" t="str">
        <x:v>Service Area 6</x:v>
      </x:c>
      <x:c r="F92" s="9" t="str">
        <x:v>FICT-INV-088-1, FICT-INV-088-2</x:v>
      </x:c>
      <x:c r="G92" s="9" t="str">
        <x:v>Reported Denied</x:v>
      </x:c>
      <x:c r="H92" s="12" t="n">
        <x:v>1035</x:v>
      </x:c>
      <x:c r="I92" s="13" t="str">
        <x:v>Itemized record from the dispute support file; financial-system confirmation required.</x:v>
      </x:c>
    </x:row>
    <x:row r="93">
      <x:c r="A93" s="13" t="str">
        <x:v>Jul 15, 2026 – 1st Cycle</x:v>
      </x:c>
      <x:c r="B93" s="10" t="n">
        <x:v>46218</x:v>
      </x:c>
      <x:c r="C93" s="9" t="n">
        <x:f>YEAR(B93)</x:f>
        <x:v>2026</x:v>
      </x:c>
      <x:c r="D93" s="9" t="str">
        <x:f>TEXT(B93,"yyyy-mm")</x:f>
        <x:v>2026-07</x:v>
      </x:c>
      <x:c r="E93" s="9" t="str">
        <x:v>Service Area 5</x:v>
      </x:c>
      <x:c r="F93" s="9" t="str">
        <x:v>FICT-INV-089-1</x:v>
      </x:c>
      <x:c r="G93" s="9" t="str">
        <x:v>Reported Denied</x:v>
      </x:c>
      <x:c r="H93" s="12" t="n">
        <x:v>5150</x:v>
      </x:c>
      <x:c r="I93" s="13" t="str">
        <x:v>Itemized record from the dispute support file; financial-system confirmation required.</x:v>
      </x:c>
    </x:row>
    <x:row r="94">
      <x:c r="A94" s="13" t="str">
        <x:v>Jul 31, 2026 – 2nd Cycle</x:v>
      </x:c>
      <x:c r="B94" s="10" t="n">
        <x:v>46234</x:v>
      </x:c>
      <x:c r="C94" s="9" t="n">
        <x:f>YEAR(B94)</x:f>
        <x:v>2026</x:v>
      </x:c>
      <x:c r="D94" s="9" t="str">
        <x:f>TEXT(B94,"yyyy-mm")</x:f>
        <x:v>2026-07</x:v>
      </x:c>
      <x:c r="E94" s="9" t="str">
        <x:v>Service Area 5</x:v>
      </x:c>
      <x:c r="F94" s="9" t="str">
        <x:v>FICT-INV-090-1, FICT-INV-090-2</x:v>
      </x:c>
      <x:c r="G94" s="9" t="str">
        <x:v>Reported Denied</x:v>
      </x:c>
      <x:c r="H94" s="12" t="n">
        <x:v>3460</x:v>
      </x:c>
      <x:c r="I94" s="13" t="str">
        <x:v>Itemized record from the dispute support file; financial-system confirmation required.</x:v>
      </x:c>
    </x:row>
    <x:row r="95">
      <x:c r="A95" s="13" t="str">
        <x:v>Jul 31, 2026 – 2nd Cycle</x:v>
      </x:c>
      <x:c r="B95" s="10" t="n">
        <x:v>46234</x:v>
      </x:c>
      <x:c r="C95" s="9" t="n">
        <x:f>YEAR(B95)</x:f>
        <x:v>2026</x:v>
      </x:c>
      <x:c r="D95" s="9" t="str">
        <x:f>TEXT(B95,"yyyy-mm")</x:f>
        <x:v>2026-07</x:v>
      </x:c>
      <x:c r="E95" s="9" t="str">
        <x:v>Service Area 6</x:v>
      </x:c>
      <x:c r="F95" s="9" t="str">
        <x:v>FICT-INV-091-1, FICT-INV-091-2</x:v>
      </x:c>
      <x:c r="G95" s="9" t="str">
        <x:v>Reported Denied</x:v>
      </x:c>
      <x:c r="H95" s="12" t="n">
        <x:v>1035</x:v>
      </x:c>
      <x:c r="I95" s="13" t="str">
        <x:v>Itemized record from the dispute support file; financial-system confirmation required.</x:v>
      </x:c>
    </x:row>
  </x:sheetData>
  <x:mergeCells>
    <x:mergeCell ref="A1:I1"/>
    <x:mergeCell ref="A2:I2"/>
  </x:mergeCells>
  <x:conditionalFormatting sqref="G5:G95">
    <x:cfRule type="containsText" dxfId="0" priority="1" operator="containsText" text="Denied"/>
    <x:cfRule type="containsText" dxfId="1" priority="2" operator="containsText" text="Pa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48" hidden="0" customWidth="1"/>
    <x:col min="4" max="4" width="46" hidden="0" customWidth="1"/>
  </x:cols>
  <x:sheetData>
    <x:row r="1">
      <x:c r="A1" s="1" t="str">
        <x:v>DATA QUALITY AND RECONCILIATION FINDINGS</x:v>
      </x:c>
      <x:c r="B1" s="1"/>
      <x:c r="C1" s="1"/>
      <x:c r="D1" s="1"/>
    </x:row>
    <x:row r="2">
      <x:c r="A2" s="3" t="str">
        <x:v>The audit separated reliable Asana operational evidence from financial claims requiring independent verification.</x:v>
      </x:c>
      <x:c r="B2" s="3"/>
      <x:c r="C2" s="3"/>
      <x:c r="D2" s="3"/>
    </x:row>
    <x:row r="4">
      <x:c r="A4" s="8" t="str">
        <x:v>Issue</x:v>
      </x:c>
      <x:c r="B4" s="8" t="str">
        <x:v>Observed Value</x:v>
      </x:c>
      <x:c r="C4" s="8" t="str">
        <x:v>Impact</x:v>
      </x:c>
      <x:c r="D4" s="8" t="str">
        <x:v>Required Resolution</x:v>
      </x:c>
    </x:row>
    <x:row r="5">
      <x:c r="A5" s="20" t="str">
        <x:v>Live Asana task count</x:v>
      </x:c>
      <x:c r="B5" s="20" t="n">
        <x:v>147</x:v>
      </x:c>
      <x:c r="C5" s="20" t="str">
        <x:v>Authoritative project snapshot population</x:v>
      </x:c>
      <x:c r="D5" s="20" t="str">
        <x:v>Use the snapshot date when comparing later exports</x:v>
      </x:c>
    </x:row>
    <x:row r="6">
      <x:c r="A6" s="20" t="str">
        <x:v>Tasks without a due / reporting date</x:v>
      </x:c>
      <x:c r="B6" s="20" t="n">
        <x:v>21</x:v>
      </x:c>
      <x:c r="C6" s="20" t="str">
        <x:v>Cannot be assigned to a service month from Asana</x:v>
      </x:c>
      <x:c r="D6" s="20" t="str">
        <x:v>Review attachments/comments and populate service date</x:v>
      </x:c>
    </x:row>
    <x:row r="7">
      <x:c r="A7" s="20" t="str">
        <x:v>Tasks without a Status value</x:v>
      </x:c>
      <x:c r="B7" s="20" t="n">
        <x:v>57</x:v>
      </x:c>
      <x:c r="C7" s="20" t="str">
        <x:v>Inspection outcome is not classifiable</x:v>
      </x:c>
      <x:c r="D7" s="20" t="str">
        <x:v>Assign a documented status; do not infer</x:v>
      </x:c>
    </x:row>
    <x:row r="8">
      <x:c r="A8" s="20" t="str">
        <x:v>Tasks with a nonblank Cost field</x:v>
      </x:c>
      <x:c r="B8" s="20" t="n">
        <x:v>3</x:v>
      </x:c>
      <x:c r="C8" s="20" t="str">
        <x:v>Asana project is not a transaction ledger</x:v>
      </x:c>
      <x:c r="D8" s="20" t="str">
        <x:v>Use the authoritative financial system for payment amounts</x:v>
      </x:c>
    </x:row>
    <x:row r="9">
      <x:c r="A9" s="20" t="str">
        <x:v>Itemized Reported Paid total</x:v>
      </x:c>
      <x:c r="B9" s="21" t="n">
        <x:v>139948</x:v>
      </x:c>
      <x:c r="C9" s="20" t="str">
        <x:v>Traceable to itemized summary rows; not proof of payment</x:v>
      </x:c>
      <x:c r="D9" s="20" t="str">
        <x:v>Verify each invoice in the financial system</x:v>
      </x:c>
    </x:row>
    <x:row r="10">
      <x:c r="A10" s="20" t="str">
        <x:v>Published paid summary total</x:v>
      </x:c>
      <x:c r="B10" s="21" t="n">
        <x:v>152156</x:v>
      </x:c>
      <x:c r="C10" s="20" t="str">
        <x:v>Does not equal the itemized entries</x:v>
      </x:c>
      <x:c r="D10" s="20" t="str">
        <x:v>Reconcile before reporting</x:v>
      </x:c>
    </x:row>
    <x:row r="11">
      <x:c r="A11" s="20" t="str">
        <x:v>Paid-summary discrepancy</x:v>
      </x:c>
      <x:c r="B11" s="21" t="n">
        <x:v>12208</x:v>
      </x:c>
      <x:c r="C11" s="20" t="str">
        <x:v>Unexplained overstatement in the older summary</x:v>
      </x:c>
      <x:c r="D11" s="20" t="str">
        <x:v>Identify omitted or duplicated invoices</x:v>
      </x:c>
    </x:row>
    <x:row r="12">
      <x:c r="A12" s="20" t="str">
        <x:v>Itemized Reported Denied total</x:v>
      </x:c>
      <x:c r="B12" s="21" t="n">
        <x:v>23685</x:v>
      </x:c>
      <x:c r="C12" s="20" t="str">
        <x:v>Traceable to 11 itemized service-cycle rows</x:v>
      </x:c>
      <x:c r="D12" s="20" t="str">
        <x:v>Verify denial and approval documentation</x:v>
      </x:c>
    </x:row>
    <x:row r="13">
      <x:c r="A13" s="20" t="str">
        <x:v>Published denied summary total</x:v>
      </x:c>
      <x:c r="B13" s="21" t="n">
        <x:v>25532</x:v>
      </x:c>
      <x:c r="C13" s="20" t="str">
        <x:v>Does not equal the itemized entries</x:v>
      </x:c>
      <x:c r="D13" s="20" t="str">
        <x:v>Reconcile before reporting</x:v>
      </x:c>
    </x:row>
    <x:row r="14">
      <x:c r="A14" s="20" t="str">
        <x:v>Denied-summary discrepancy</x:v>
      </x:c>
      <x:c r="B14" s="21" t="n">
        <x:v>1847</x:v>
      </x:c>
      <x:c r="C14" s="20" t="str">
        <x:v>Unexplained overstatement in the older summary</x:v>
      </x:c>
      <x:c r="D14" s="20" t="str">
        <x:v>Identify omitted or duplicated invoices</x:v>
      </x:c>
    </x:row>
    <x:row r="15">
      <x:c r="A15" s="20" t="str">
        <x:v>Cost field value $194,904</x:v>
      </x:c>
      <x:c r="B15" s="21" t="n">
        <x:v>194904</x:v>
      </x:c>
      <x:c r="C15" s="20" t="str">
        <x:v>Purchase-order amount, not an invoice-payment total</x:v>
      </x:c>
      <x:c r="D15" s="20" t="str">
        <x:v>Exclude from invoice totals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11" hidden="0" customWidth="1"/>
    <x:col min="5" max="5" width="12" hidden="0" customWidth="1"/>
    <x:col min="6" max="6" width="22" hidden="0" customWidth="1"/>
    <x:col min="7" max="7" width="20" hidden="0" customWidth="1"/>
    <x:col min="8" max="8" width="12" hidden="0" customWidth="1"/>
    <x:col min="9" max="9" width="22" hidden="0" customWidth="1"/>
    <x:col min="10" max="10" width="14" hidden="0" customWidth="1"/>
    <x:col min="11" max="11" width="19" hidden="0" customWidth="1"/>
    <x:col min="12" max="12" width="19" hidden="0" customWidth="1"/>
    <x:col min="13" max="13" width="19" hidden="0" customWidth="1"/>
    <x:col min="14" max="14" width="42" hidden="0" customWidth="1"/>
  </x:cols>
  <x:sheetData>
    <x:row r="1">
      <x:c r="A1" s="1" t="str">
        <x:v>FICTIONAL ASANA TASK EXPORT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147-record portfolio demonstration. Identities, locations, task IDs, links, and narrative details were replaced; analytical dates, status counts, and numeric fields were preserved.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38" customHeight="1">
      <x:c r="A4" s="8" t="str">
        <x:v>Task ID</x:v>
      </x:c>
      <x:c r="B4" s="8" t="str">
        <x:v>Task Name</x:v>
      </x:c>
      <x:c r="C4" s="8" t="str">
        <x:v>Reporting Date</x:v>
      </x:c>
      <x:c r="D4" s="8" t="str">
        <x:v>Year</x:v>
      </x:c>
      <x:c r="E4" s="8" t="str">
        <x:v>Month</x:v>
      </x:c>
      <x:c r="F4" s="8" t="str">
        <x:v>Project Section</x:v>
      </x:c>
      <x:c r="G4" s="8" t="str">
        <x:v>Status</x:v>
      </x:c>
      <x:c r="H4" s="8" t="str">
        <x:v>Completed</x:v>
      </x:c>
      <x:c r="I4" s="8" t="str">
        <x:v>Assignee</x:v>
      </x:c>
      <x:c r="J4" s="8" t="str">
        <x:v>Cost Field</x:v>
      </x:c>
      <x:c r="K4" s="8" t="str">
        <x:v>Created At</x:v>
      </x:c>
      <x:c r="L4" s="8" t="str">
        <x:v>Completed At</x:v>
      </x:c>
      <x:c r="M4" s="8" t="str">
        <x:v>Last Modified</x:v>
      </x:c>
      <x:c r="N4" s="8" t="str">
        <x:v>Notes</x:v>
      </x:c>
    </x:row>
    <x:row r="5">
      <x:c r="A5" s="13" t="str">
        <x:v>FICT-TASK-0001</x:v>
      </x:c>
      <x:c r="B5" s="13" t="str">
        <x:v>Service Area 1 - Correction Plans</x:v>
      </x:c>
      <x:c r="C5" s="10" t="n">
        <x:v>46189</x:v>
      </x:c>
      <x:c r="D5" s="9" t="n">
        <x:f>IF(C5="","Undated",YEAR(C5))</x:f>
        <x:v>2026</x:v>
      </x:c>
      <x:c r="E5" s="9" t="str">
        <x:f>IF(C5="","Undated",TEXT(C5,"yyyy-mm"))</x:f>
        <x:v>2026-06</x:v>
      </x:c>
      <x:c r="F5" s="9" t="str">
        <x:v>Correction Plans</x:v>
      </x:c>
      <x:c r="G5" s="9" t="str">
        <x:v>Failed Inspection</x:v>
      </x:c>
      <x:c r="H5" s="9" t="str">
        <x:v>No</x:v>
      </x:c>
      <x:c r="I5" s="9" t="str">
        <x:v>Reviewer A</x:v>
      </x:c>
      <x:c r="J5" s="12"/>
      <x:c r="K5" s="11" t="n">
        <x:v>46204.6786390625</x:v>
      </x:c>
      <x:c r="L5" s="11"/>
      <x:c r="M5" s="11" t="n">
        <x:v>46261.07753785879</x:v>
      </x:c>
      <x:c r="N5" s="13" t="str">
        <x:v>Corrective work and follow-up inspection required.</x:v>
      </x:c>
    </x:row>
    <x:row r="6">
      <x:c r="A6" s="13" t="str">
        <x:v>FICT-TASK-0002</x:v>
      </x:c>
      <x:c r="B6" s="13" t="str">
        <x:v>Service Area 2 - Correction Plans</x:v>
      </x:c>
      <x:c r="C6" s="10" t="n">
        <x:v>46203</x:v>
      </x:c>
      <x:c r="D6" s="9" t="n">
        <x:f>IF(C6="","Undated",YEAR(C6))</x:f>
        <x:v>2026</x:v>
      </x:c>
      <x:c r="E6" s="9" t="str">
        <x:f>IF(C6="","Undated",TEXT(C6,"yyyy-mm"))</x:f>
        <x:v>2026-06</x:v>
      </x:c>
      <x:c r="F6" s="9" t="str">
        <x:v>Correction Plans</x:v>
      </x:c>
      <x:c r="G6" s="9" t="str">
        <x:v>Failed Inspection</x:v>
      </x:c>
      <x:c r="H6" s="9" t="str">
        <x:v>No</x:v>
      </x:c>
      <x:c r="I6" s="9" t="str">
        <x:v>Reviewer B</x:v>
      </x:c>
      <x:c r="J6" s="12"/>
      <x:c r="K6" s="11" t="n">
        <x:v>46226.930407430555</x:v>
      </x:c>
      <x:c r="L6" s="11"/>
      <x:c r="M6" s="11" t="n">
        <x:v>46226.93742178241</x:v>
      </x:c>
      <x:c r="N6" s="13" t="str">
        <x:v>Corrective work and follow-up inspection required.</x:v>
      </x:c>
    </x:row>
    <x:row r="7">
      <x:c r="A7" s="13" t="str">
        <x:v>FICT-TASK-0003</x:v>
      </x:c>
      <x:c r="B7" s="13" t="str">
        <x:v>Service Area 3 - Correction Plans</x:v>
      </x:c>
      <x:c r="C7" s="10" t="n">
        <x:v>46172</x:v>
      </x:c>
      <x:c r="D7" s="9" t="n">
        <x:f>IF(C7="","Undated",YEAR(C7))</x:f>
        <x:v>2026</x:v>
      </x:c>
      <x:c r="E7" s="9" t="str">
        <x:f>IF(C7="","Undated",TEXT(C7,"yyyy-mm"))</x:f>
        <x:v>2026-05</x:v>
      </x:c>
      <x:c r="F7" s="9" t="str">
        <x:v>Correction Plans</x:v>
      </x:c>
      <x:c r="G7" s="9" t="str">
        <x:v>Failed Inspection</x:v>
      </x:c>
      <x:c r="H7" s="9" t="str">
        <x:v>No</x:v>
      </x:c>
      <x:c r="I7" s="9" t="str">
        <x:v>Reviewer C</x:v>
      </x:c>
      <x:c r="J7" s="12"/>
      <x:c r="K7" s="11" t="n">
        <x:v>46178.84382017361</x:v>
      </x:c>
      <x:c r="L7" s="11"/>
      <x:c r="M7" s="11" t="n">
        <x:v>46225.74712222222</x:v>
      </x:c>
      <x:c r="N7" s="13" t="str">
        <x:v>Corrective work and follow-up inspection required.</x:v>
      </x:c>
    </x:row>
    <x:row r="8">
      <x:c r="A8" s="13" t="str">
        <x:v>FICT-TASK-0004</x:v>
      </x:c>
      <x:c r="B8" s="13" t="str">
        <x:v>Service Area 4 - Correction Plans</x:v>
      </x:c>
      <x:c r="C8" s="10" t="n">
        <x:v>46168</x:v>
      </x:c>
      <x:c r="D8" s="9" t="n">
        <x:f>IF(C8="","Undated",YEAR(C8))</x:f>
        <x:v>2026</x:v>
      </x:c>
      <x:c r="E8" s="9" t="str">
        <x:f>IF(C8="","Undated",TEXT(C8,"yyyy-mm"))</x:f>
        <x:v>2026-05</x:v>
      </x:c>
      <x:c r="F8" s="9" t="str">
        <x:v>Correction Plans</x:v>
      </x:c>
      <x:c r="G8" s="9" t="str">
        <x:v>Failed Inspection</x:v>
      </x:c>
      <x:c r="H8" s="9" t="str">
        <x:v>No</x:v>
      </x:c>
      <x:c r="I8" s="9" t="str">
        <x:v>Vendor Representative</x:v>
      </x:c>
      <x:c r="J8" s="12"/>
      <x:c r="K8" s="11" t="n">
        <x:v>46178.84234604167</x:v>
      </x:c>
      <x:c r="L8" s="11"/>
      <x:c r="M8" s="11" t="n">
        <x:v>46226.9826190625</x:v>
      </x:c>
      <x:c r="N8" s="13" t="str">
        <x:v>Corrective work and follow-up inspection required.</x:v>
      </x:c>
    </x:row>
    <x:row r="9">
      <x:c r="A9" s="13" t="str">
        <x:v>FICT-TASK-0005</x:v>
      </x:c>
      <x:c r="B9" s="13" t="str">
        <x:v>Service Area 5 - Correction Plans</x:v>
      </x:c>
      <x:c r="C9" s="10" t="n">
        <x:v>46188</x:v>
      </x:c>
      <x:c r="D9" s="9" t="n">
        <x:f>IF(C9="","Undated",YEAR(C9))</x:f>
        <x:v>2026</x:v>
      </x:c>
      <x:c r="E9" s="9" t="str">
        <x:f>IF(C9="","Undated",TEXT(C9,"yyyy-mm"))</x:f>
        <x:v>2026-06</x:v>
      </x:c>
      <x:c r="F9" s="9" t="str">
        <x:v>Correction Plans</x:v>
      </x:c>
      <x:c r="G9" s="9" t="str">
        <x:v>Failed Inspection</x:v>
      </x:c>
      <x:c r="H9" s="9" t="str">
        <x:v>No</x:v>
      </x:c>
      <x:c r="I9" s="9" t="str">
        <x:v>Reviewer A</x:v>
      </x:c>
      <x:c r="J9" s="12"/>
      <x:c r="K9" s="11" t="n">
        <x:v>46226.981874386576</x:v>
      </x:c>
      <x:c r="L9" s="11"/>
      <x:c r="M9" s="11" t="n">
        <x:v>46226.98267775463</x:v>
      </x:c>
      <x:c r="N9" s="13" t="str">
        <x:v>Corrective work and follow-up inspection required.</x:v>
      </x:c>
    </x:row>
    <x:row r="10">
      <x:c r="A10" s="13" t="str">
        <x:v>FICT-TASK-0006</x:v>
      </x:c>
      <x:c r="B10" s="13" t="str">
        <x:v>Service Area 6 - Correction Plans</x:v>
      </x:c>
      <x:c r="C10" s="10" t="n">
        <x:v>46234</x:v>
      </x:c>
      <x:c r="D10" s="9" t="n">
        <x:f>IF(C10="","Undated",YEAR(C10))</x:f>
        <x:v>2026</x:v>
      </x:c>
      <x:c r="E10" s="9" t="str">
        <x:f>IF(C10="","Undated",TEXT(C10,"yyyy-mm"))</x:f>
        <x:v>2026-07</x:v>
      </x:c>
      <x:c r="F10" s="9" t="str">
        <x:v>Correction Plans</x:v>
      </x:c>
      <x:c r="G10" s="9" t="str">
        <x:v>No status</x:v>
      </x:c>
      <x:c r="H10" s="9" t="str">
        <x:v>No</x:v>
      </x:c>
      <x:c r="I10" s="9" t="str">
        <x:v>Reviewer B</x:v>
      </x:c>
      <x:c r="J10" s="12"/>
      <x:c r="K10" s="11" t="n">
        <x:v>46226.982281400466</x:v>
      </x:c>
      <x:c r="L10" s="11"/>
      <x:c r="M10" s="11" t="n">
        <x:v>46234.38340666667</x:v>
      </x:c>
      <x:c r="N10" s="13" t="str">
        <x:v>Status was not populated in the source task.</x:v>
      </x:c>
    </x:row>
    <x:row r="11">
      <x:c r="A11" s="13" t="str">
        <x:v>FICT-TASK-0007</x:v>
      </x:c>
      <x:c r="B11" s="13" t="str">
        <x:v>Service Area 7 - Correction Plans</x:v>
      </x:c>
      <x:c r="C11" s="10" t="n">
        <x:v>46170</x:v>
      </x:c>
      <x:c r="D11" s="9" t="n">
        <x:f>IF(C11="","Undated",YEAR(C11))</x:f>
        <x:v>2026</x:v>
      </x:c>
      <x:c r="E11" s="9" t="str">
        <x:f>IF(C11="","Undated",TEXT(C11,"yyyy-mm"))</x:f>
        <x:v>2026-05</x:v>
      </x:c>
      <x:c r="F11" s="9" t="str">
        <x:v>Correction Plans</x:v>
      </x:c>
      <x:c r="G11" s="9" t="str">
        <x:v>Failed Inspection</x:v>
      </x:c>
      <x:c r="H11" s="9" t="str">
        <x:v>No</x:v>
      </x:c>
      <x:c r="I11" s="9" t="str">
        <x:v>Reviewer C</x:v>
      </x:c>
      <x:c r="J11" s="12"/>
      <x:c r="K11" s="11" t="n">
        <x:v>46178.843820104164</x:v>
      </x:c>
      <x:c r="L11" s="11"/>
      <x:c r="M11" s="11" t="n">
        <x:v>46226.98527001157</x:v>
      </x:c>
      <x:c r="N11" s="13" t="str">
        <x:v>Corrective work and follow-up inspection required.</x:v>
      </x:c>
    </x:row>
    <x:row r="12">
      <x:c r="A12" s="13" t="str">
        <x:v>FICT-TASK-0008</x:v>
      </x:c>
      <x:c r="B12" s="13" t="str">
        <x:v>Service Area 1 - Correction Plans</x:v>
      </x:c>
      <x:c r="C12" s="10" t="n">
        <x:v>46096</x:v>
      </x:c>
      <x:c r="D12" s="9" t="n">
        <x:f>IF(C12="","Undated",YEAR(C12))</x:f>
        <x:v>2026</x:v>
      </x:c>
      <x:c r="E12" s="9" t="str">
        <x:f>IF(C12="","Undated",TEXT(C12,"yyyy-mm"))</x:f>
        <x:v>2026-03</x:v>
      </x:c>
      <x:c r="F12" s="9" t="str">
        <x:v>Correction Plans</x:v>
      </x:c>
      <x:c r="G12" s="9" t="str">
        <x:v>Quality Review!</x:v>
      </x:c>
      <x:c r="H12" s="9" t="str">
        <x:v>No</x:v>
      </x:c>
      <x:c r="I12" s="9" t="str">
        <x:v>Vendor Representative</x:v>
      </x:c>
      <x:c r="J12" s="12" t="n">
        <x:v>-700</x:v>
      </x:c>
      <x:c r="K12" s="11" t="n">
        <x:v>46098.11113971065</x:v>
      </x:c>
      <x:c r="L12" s="11"/>
      <x:c r="M12" s="11" t="n">
        <x:v>46227.03161064815</x:v>
      </x:c>
      <x:c r="N12" s="13" t="str">
        <x:v>Record routed for quality review.</x:v>
      </x:c>
    </x:row>
    <x:row r="13">
      <x:c r="A13" s="13" t="str">
        <x:v>FICT-TASK-0009</x:v>
      </x:c>
      <x:c r="B13" s="13" t="str">
        <x:v>Service Area 2 - Correction Plans</x:v>
      </x:c>
      <x:c r="C13" s="10" t="n">
        <x:v>46127</x:v>
      </x:c>
      <x:c r="D13" s="9" t="n">
        <x:f>IF(C13="","Undated",YEAR(C13))</x:f>
        <x:v>2026</x:v>
      </x:c>
      <x:c r="E13" s="9" t="str">
        <x:f>IF(C13="","Undated",TEXT(C13,"yyyy-mm"))</x:f>
        <x:v>2026-04</x:v>
      </x:c>
      <x:c r="F13" s="9" t="str">
        <x:v>Correction Plans</x:v>
      </x:c>
      <x:c r="G13" s="9" t="str">
        <x:v>Failed Inspection</x:v>
      </x:c>
      <x:c r="H13" s="9" t="str">
        <x:v>No</x:v>
      </x:c>
      <x:c r="I13" s="9" t="str">
        <x:v>Reviewer A</x:v>
      </x:c>
      <x:c r="J13" s="12"/>
      <x:c r="K13" s="11" t="n">
        <x:v>46128.04859572917</x:v>
      </x:c>
      <x:c r="L13" s="11"/>
      <x:c r="M13" s="11" t="n">
        <x:v>46196.99653493056</x:v>
      </x:c>
      <x:c r="N13" s="13" t="str">
        <x:v>Corrective work and follow-up inspection required.</x:v>
      </x:c>
    </x:row>
    <x:row r="14">
      <x:c r="A14" s="13" t="str">
        <x:v>FICT-TASK-0010</x:v>
      </x:c>
      <x:c r="B14" s="13" t="str">
        <x:v>Service Area 3 - Correction Plans</x:v>
      </x:c>
      <x:c r="C14" s="10" t="n">
        <x:v>46234</x:v>
      </x:c>
      <x:c r="D14" s="9" t="n">
        <x:f>IF(C14="","Undated",YEAR(C14))</x:f>
        <x:v>2026</x:v>
      </x:c>
      <x:c r="E14" s="9" t="str">
        <x:f>IF(C14="","Undated",TEXT(C14,"yyyy-mm"))</x:f>
        <x:v>2026-07</x:v>
      </x:c>
      <x:c r="F14" s="9" t="str">
        <x:v>Correction Plans</x:v>
      </x:c>
      <x:c r="G14" s="9" t="str">
        <x:v>Compliant Received</x:v>
      </x:c>
      <x:c r="H14" s="9" t="str">
        <x:v>No</x:v>
      </x:c>
      <x:c r="I14" s="9" t="str">
        <x:v>Reviewer B</x:v>
      </x:c>
      <x:c r="J14" s="12"/>
      <x:c r="K14" s="11" t="n">
        <x:v>46178.84232618056</x:v>
      </x:c>
      <x:c r="L14" s="11"/>
      <x:c r="M14" s="11" t="n">
        <x:v>46234.37910056713</x:v>
      </x:c>
      <x:c r="N14" s="13" t="str">
        <x:v>Required compliance documentation received.</x:v>
      </x:c>
    </x:row>
    <x:row r="15">
      <x:c r="A15" s="13" t="str">
        <x:v>FICT-TASK-0011</x:v>
      </x:c>
      <x:c r="B15" s="13" t="str">
        <x:v>Service Area 4 - Correction Plans</x:v>
      </x:c>
      <x:c r="C15" s="10" t="n">
        <x:v>46234</x:v>
      </x:c>
      <x:c r="D15" s="9" t="n">
        <x:f>IF(C15="","Undated",YEAR(C15))</x:f>
        <x:v>2026</x:v>
      </x:c>
      <x:c r="E15" s="9" t="str">
        <x:f>IF(C15="","Undated",TEXT(C15,"yyyy-mm"))</x:f>
        <x:v>2026-07</x:v>
      </x:c>
      <x:c r="F15" s="9" t="str">
        <x:v>Correction Plans</x:v>
      </x:c>
      <x:c r="G15" s="9" t="str">
        <x:v>Quality Review!</x:v>
      </x:c>
      <x:c r="H15" s="9" t="str">
        <x:v>No</x:v>
      </x:c>
      <x:c r="I15" s="9" t="str">
        <x:v>Reviewer C</x:v>
      </x:c>
      <x:c r="J15" s="12"/>
      <x:c r="K15" s="11" t="n">
        <x:v>46178.8445997338</x:v>
      </x:c>
      <x:c r="L15" s="11"/>
      <x:c r="M15" s="11" t="n">
        <x:v>46234.379106643515</x:v>
      </x:c>
      <x:c r="N15" s="13" t="str">
        <x:v>Record routed for quality review.</x:v>
      </x:c>
    </x:row>
    <x:row r="16">
      <x:c r="A16" s="13" t="str">
        <x:v>FICT-TASK-0012</x:v>
      </x:c>
      <x:c r="B16" s="13" t="str">
        <x:v>Service Area 5 - Correction Plans</x:v>
      </x:c>
      <x:c r="C16" s="10" t="n">
        <x:v>46234</x:v>
      </x:c>
      <x:c r="D16" s="9" t="n">
        <x:f>IF(C16="","Undated",YEAR(C16))</x:f>
        <x:v>2026</x:v>
      </x:c>
      <x:c r="E16" s="9" t="str">
        <x:f>IF(C16="","Undated",TEXT(C16,"yyyy-mm"))</x:f>
        <x:v>2026-07</x:v>
      </x:c>
      <x:c r="F16" s="9" t="str">
        <x:v>Correction Plans</x:v>
      </x:c>
      <x:c r="G16" s="9" t="str">
        <x:v>Failed Inspection</x:v>
      </x:c>
      <x:c r="H16" s="9" t="str">
        <x:v>No</x:v>
      </x:c>
      <x:c r="I16" s="9" t="str">
        <x:v>Vendor Representative</x:v>
      </x:c>
      <x:c r="J16" s="12"/>
      <x:c r="K16" s="11" t="n">
        <x:v>46178.843108263885</x:v>
      </x:c>
      <x:c r="L16" s="11"/>
      <x:c r="M16" s="11" t="n">
        <x:v>46234.37909210648</x:v>
      </x:c>
      <x:c r="N16" s="13" t="str">
        <x:v>Corrective work and follow-up inspection required.</x:v>
      </x:c>
    </x:row>
    <x:row r="17">
      <x:c r="A17" s="13" t="str">
        <x:v>FICT-TASK-0013</x:v>
      </x:c>
      <x:c r="B17" s="13" t="str">
        <x:v>Service Area 6 - Correction Plans</x:v>
      </x:c>
      <x:c r="C17" s="10" t="n">
        <x:v>46234</x:v>
      </x:c>
      <x:c r="D17" s="9" t="n">
        <x:f>IF(C17="","Undated",YEAR(C17))</x:f>
        <x:v>2026</x:v>
      </x:c>
      <x:c r="E17" s="9" t="str">
        <x:f>IF(C17="","Undated",TEXT(C17,"yyyy-mm"))</x:f>
        <x:v>2026-07</x:v>
      </x:c>
      <x:c r="F17" s="9" t="str">
        <x:v>Correction Plans</x:v>
      </x:c>
      <x:c r="G17" s="9" t="str">
        <x:v>Failed Inspection</x:v>
      </x:c>
      <x:c r="H17" s="9" t="str">
        <x:v>No</x:v>
      </x:c>
      <x:c r="I17" s="9" t="str">
        <x:v>Reviewer A</x:v>
      </x:c>
      <x:c r="J17" s="12"/>
      <x:c r="K17" s="11" t="n">
        <x:v>46204.909504247684</x:v>
      </x:c>
      <x:c r="L17" s="11"/>
      <x:c r="M17" s="11" t="n">
        <x:v>46234.380642048614</x:v>
      </x:c>
      <x:c r="N17" s="13" t="str">
        <x:v>Corrective work and follow-up inspection required.</x:v>
      </x:c>
    </x:row>
    <x:row r="18">
      <x:c r="A18" s="13" t="str">
        <x:v>FICT-TASK-0014</x:v>
      </x:c>
      <x:c r="B18" s="13" t="str">
        <x:v>Service Area 7 - Correction Plans</x:v>
      </x:c>
      <x:c r="C18" s="10" t="n">
        <x:v>46234</x:v>
      </x:c>
      <x:c r="D18" s="9" t="n">
        <x:f>IF(C18="","Undated",YEAR(C18))</x:f>
        <x:v>2026</x:v>
      </x:c>
      <x:c r="E18" s="9" t="str">
        <x:f>IF(C18="","Undated",TEXT(C18,"yyyy-mm"))</x:f>
        <x:v>2026-07</x:v>
      </x:c>
      <x:c r="F18" s="9" t="str">
        <x:v>Correction Plans</x:v>
      </x:c>
      <x:c r="G18" s="9" t="str">
        <x:v>Failed Inspection</x:v>
      </x:c>
      <x:c r="H18" s="9" t="str">
        <x:v>No</x:v>
      </x:c>
      <x:c r="I18" s="9" t="str">
        <x:v>Reviewer B</x:v>
      </x:c>
      <x:c r="J18" s="12"/>
      <x:c r="K18" s="11" t="n">
        <x:v>46178.84459958333</x:v>
      </x:c>
      <x:c r="L18" s="11"/>
      <x:c r="M18" s="11" t="n">
        <x:v>46234.37910304398</x:v>
      </x:c>
      <x:c r="N18" s="13" t="str">
        <x:v>Corrective work and follow-up inspection required.</x:v>
      </x:c>
    </x:row>
    <x:row r="19">
      <x:c r="A19" s="13" t="str">
        <x:v>FICT-TASK-0015</x:v>
      </x:c>
      <x:c r="B19" s="13" t="str">
        <x:v>Service Area 1 - Correction Plans</x:v>
      </x:c>
      <x:c r="C19" s="10" t="n">
        <x:v>46234</x:v>
      </x:c>
      <x:c r="D19" s="9" t="n">
        <x:f>IF(C19="","Undated",YEAR(C19))</x:f>
        <x:v>2026</x:v>
      </x:c>
      <x:c r="E19" s="9" t="str">
        <x:f>IF(C19="","Undated",TEXT(C19,"yyyy-mm"))</x:f>
        <x:v>2026-07</x:v>
      </x:c>
      <x:c r="F19" s="9" t="str">
        <x:v>Correction Plans</x:v>
      </x:c>
      <x:c r="G19" s="9" t="str">
        <x:v>Compliant Received</x:v>
      </x:c>
      <x:c r="H19" s="9" t="str">
        <x:v>No</x:v>
      </x:c>
      <x:c r="I19" s="9" t="str">
        <x:v>Reviewer C</x:v>
      </x:c>
      <x:c r="J19" s="12"/>
      <x:c r="K19" s="11" t="n">
        <x:v>46178.84382943287</x:v>
      </x:c>
      <x:c r="L19" s="11"/>
      <x:c r="M19" s="11" t="n">
        <x:v>46234.37909511574</x:v>
      </x:c>
      <x:c r="N19" s="13" t="str">
        <x:v>Required compliance documentation received.</x:v>
      </x:c>
    </x:row>
    <x:row r="20">
      <x:c r="A20" s="13" t="str">
        <x:v>FICT-TASK-0016</x:v>
      </x:c>
      <x:c r="B20" s="13" t="str">
        <x:v>Service Area 2 - Correction Plans</x:v>
      </x:c>
      <x:c r="C20" s="10" t="n">
        <x:v>46210</x:v>
      </x:c>
      <x:c r="D20" s="9" t="n">
        <x:f>IF(C20="","Undated",YEAR(C20))</x:f>
        <x:v>2026</x:v>
      </x:c>
      <x:c r="E20" s="9" t="str">
        <x:f>IF(C20="","Undated",TEXT(C20,"yyyy-mm"))</x:f>
        <x:v>2026-07</x:v>
      </x:c>
      <x:c r="F20" s="9" t="str">
        <x:v>Correction Plans</x:v>
      </x:c>
      <x:c r="G20" s="9" t="str">
        <x:v>Failed Inspection</x:v>
      </x:c>
      <x:c r="H20" s="9" t="str">
        <x:v>No</x:v>
      </x:c>
      <x:c r="I20" s="9" t="str">
        <x:v>Vendor Representative</x:v>
      </x:c>
      <x:c r="J20" s="12"/>
      <x:c r="K20" s="11" t="n">
        <x:v>46132.67309715278</x:v>
      </x:c>
      <x:c r="L20" s="11"/>
      <x:c r="M20" s="11" t="n">
        <x:v>46211.048912893515</x:v>
      </x:c>
      <x:c r="N20" s="13" t="str">
        <x:v>Corrective work and follow-up inspection required.</x:v>
      </x:c>
    </x:row>
    <x:row r="21">
      <x:c r="A21" s="13" t="str">
        <x:v>FICT-TASK-0017</x:v>
      </x:c>
      <x:c r="B21" s="13" t="str">
        <x:v>Service Area 3 - Correction Plans</x:v>
      </x:c>
      <x:c r="C21" s="10" t="n">
        <x:v>45624</x:v>
      </x:c>
      <x:c r="D21" s="9" t="n">
        <x:f>IF(C21="","Undated",YEAR(C21))</x:f>
        <x:v>2024</x:v>
      </x:c>
      <x:c r="E21" s="9" t="str">
        <x:f>IF(C21="","Undated",TEXT(C21,"yyyy-mm"))</x:f>
        <x:v>2024-11</x:v>
      </x:c>
      <x:c r="F21" s="9" t="str">
        <x:v>Correction Plans</x:v>
      </x:c>
      <x:c r="G21" s="9" t="str">
        <x:v>Failed Inspection</x:v>
      </x:c>
      <x:c r="H21" s="9" t="str">
        <x:v>No</x:v>
      </x:c>
      <x:c r="I21" s="9" t="str">
        <x:v>Reviewer A</x:v>
      </x:c>
      <x:c r="J21" s="12"/>
      <x:c r="K21" s="11" t="n">
        <x:v>45602.949361875</x:v>
      </x:c>
      <x:c r="L21" s="11"/>
      <x:c r="M21" s="11" t="n">
        <x:v>45939.85406770834</x:v>
      </x:c>
      <x:c r="N21" s="13" t="str">
        <x:v>Corrective work and follow-up inspection required.</x:v>
      </x:c>
    </x:row>
    <x:row r="22">
      <x:c r="A22" s="13" t="str">
        <x:v>FICT-TASK-0018</x:v>
      </x:c>
      <x:c r="B22" s="13" t="str">
        <x:v>Service Area 4 - Correction Plans</x:v>
      </x:c>
      <x:c r="C22" s="10"/>
      <x:c r="D22" s="9" t="str">
        <x:f>IF(C22="","Undated",YEAR(C22))</x:f>
        <x:v>Undated</x:v>
      </x:c>
      <x:c r="E22" s="9" t="str">
        <x:f>IF(C22="","Undated",TEXT(C22,"yyyy-mm"))</x:f>
        <x:v>Undated</x:v>
      </x:c>
      <x:c r="F22" s="9" t="str">
        <x:v>Correction Plans</x:v>
      </x:c>
      <x:c r="G22" s="9" t="str">
        <x:v>Failed Inspection</x:v>
      </x:c>
      <x:c r="H22" s="9" t="str">
        <x:v>No</x:v>
      </x:c>
      <x:c r="I22" s="9" t="str">
        <x:v>Reviewer B</x:v>
      </x:c>
      <x:c r="J22" s="12"/>
      <x:c r="K22" s="11" t="n">
        <x:v>45939.852502615744</x:v>
      </x:c>
      <x:c r="L22" s="11"/>
      <x:c r="M22" s="11" t="n">
        <x:v>45939.85345899306</x:v>
      </x:c>
      <x:c r="N22" s="13" t="str">
        <x:v>Corrective work and follow-up inspection required.</x:v>
      </x:c>
    </x:row>
    <x:row r="23">
      <x:c r="A23" s="13" t="str">
        <x:v>FICT-TASK-0019</x:v>
      </x:c>
      <x:c r="B23" s="13" t="str">
        <x:v>Service Area 5 - Failed Inspections</x:v>
      </x:c>
      <x:c r="C23" s="10" t="n">
        <x:v>45915</x:v>
      </x:c>
      <x:c r="D23" s="9" t="n">
        <x:f>IF(C23="","Undated",YEAR(C23))</x:f>
        <x:v>2025</x:v>
      </x:c>
      <x:c r="E23" s="9" t="str">
        <x:f>IF(C23="","Undated",TEXT(C23,"yyyy-mm"))</x:f>
        <x:v>2025-09</x:v>
      </x:c>
      <x:c r="F23" s="9" t="str">
        <x:v>Failed Inspections</x:v>
      </x:c>
      <x:c r="G23" s="9" t="str">
        <x:v>Failed Inspection</x:v>
      </x:c>
      <x:c r="H23" s="9" t="str">
        <x:v>Yes</x:v>
      </x:c>
      <x:c r="I23" s="9" t="str">
        <x:v>Reviewer C</x:v>
      </x:c>
      <x:c r="J23" s="12"/>
      <x:c r="K23" s="11" t="n">
        <x:v>45603.947129375</x:v>
      </x:c>
      <x:c r="L23" s="11" t="n">
        <x:v>45953.985515636574</x:v>
      </x:c>
      <x:c r="M23" s="11" t="n">
        <x:v>45953.98551744213</x:v>
      </x:c>
      <x:c r="N23" s="13" t="str">
        <x:v>Corrective work and follow-up inspection required.</x:v>
      </x:c>
    </x:row>
    <x:row r="24">
      <x:c r="A24" s="13" t="str">
        <x:v>FICT-TASK-0020</x:v>
      </x:c>
      <x:c r="B24" s="13" t="str">
        <x:v>Service Area 6 - Failed Inspections</x:v>
      </x:c>
      <x:c r="C24" s="10" t="n">
        <x:v>45915</x:v>
      </x:c>
      <x:c r="D24" s="9" t="n">
        <x:f>IF(C24="","Undated",YEAR(C24))</x:f>
        <x:v>2025</x:v>
      </x:c>
      <x:c r="E24" s="9" t="str">
        <x:f>IF(C24="","Undated",TEXT(C24,"yyyy-mm"))</x:f>
        <x:v>2025-09</x:v>
      </x:c>
      <x:c r="F24" s="9" t="str">
        <x:v>Failed Inspections</x:v>
      </x:c>
      <x:c r="G24" s="9" t="str">
        <x:v>Failed Inspection</x:v>
      </x:c>
      <x:c r="H24" s="9" t="str">
        <x:v>Yes</x:v>
      </x:c>
      <x:c r="I24" s="9" t="str">
        <x:v>Vendor Representative</x:v>
      </x:c>
      <x:c r="J24" s="12"/>
      <x:c r="K24" s="11" t="n">
        <x:v>45867.05962199074</x:v>
      </x:c>
      <x:c r="L24" s="11" t="n">
        <x:v>45953.98627648148</x:v>
      </x:c>
      <x:c r="M24" s="11" t="n">
        <x:v>45953.98627793982</x:v>
      </x:c>
      <x:c r="N24" s="13" t="str">
        <x:v>Corrective work and follow-up inspection required.</x:v>
      </x:c>
    </x:row>
    <x:row r="25">
      <x:c r="A25" s="13" t="str">
        <x:v>FICT-TASK-0021</x:v>
      </x:c>
      <x:c r="B25" s="13" t="str">
        <x:v>Service Area 7 - Failed Inspections</x:v>
      </x:c>
      <x:c r="C25" s="10" t="n">
        <x:v>45915</x:v>
      </x:c>
      <x:c r="D25" s="9" t="n">
        <x:f>IF(C25="","Undated",YEAR(C25))</x:f>
        <x:v>2025</x:v>
      </x:c>
      <x:c r="E25" s="9" t="str">
        <x:f>IF(C25="","Undated",TEXT(C25,"yyyy-mm"))</x:f>
        <x:v>2025-09</x:v>
      </x:c>
      <x:c r="F25" s="9" t="str">
        <x:v>Failed Inspections</x:v>
      </x:c>
      <x:c r="G25" s="9" t="str">
        <x:v>Failed Inspection</x:v>
      </x:c>
      <x:c r="H25" s="9" t="str">
        <x:v>Yes</x:v>
      </x:c>
      <x:c r="I25" s="9" t="str">
        <x:v>Reviewer A</x:v>
      </x:c>
      <x:c r="J25" s="12"/>
      <x:c r="K25" s="11" t="n">
        <x:v>45421.778506030096</x:v>
      </x:c>
      <x:c r="L25" s="11" t="n">
        <x:v>45953.98747454861</x:v>
      </x:c>
      <x:c r="M25" s="11" t="n">
        <x:v>45953.98747613426</x:v>
      </x:c>
      <x:c r="N25" s="13" t="str">
        <x:v>Corrective work and follow-up inspection required.</x:v>
      </x:c>
    </x:row>
    <x:row r="26">
      <x:c r="A26" s="13" t="str">
        <x:v>FICT-TASK-0022</x:v>
      </x:c>
      <x:c r="B26" s="13" t="str">
        <x:v>Service Area 1 - Failed Inspections</x:v>
      </x:c>
      <x:c r="C26" s="10" t="n">
        <x:v>45915</x:v>
      </x:c>
      <x:c r="D26" s="9" t="n">
        <x:f>IF(C26="","Undated",YEAR(C26))</x:f>
        <x:v>2025</x:v>
      </x:c>
      <x:c r="E26" s="9" t="str">
        <x:f>IF(C26="","Undated",TEXT(C26,"yyyy-mm"))</x:f>
        <x:v>2025-09</x:v>
      </x:c>
      <x:c r="F26" s="9" t="str">
        <x:v>Failed Inspections</x:v>
      </x:c>
      <x:c r="G26" s="9" t="str">
        <x:v>Failed Inspection</x:v>
      </x:c>
      <x:c r="H26" s="9" t="str">
        <x:v>Yes</x:v>
      </x:c>
      <x:c r="I26" s="9" t="str">
        <x:v>Reviewer B</x:v>
      </x:c>
      <x:c r="J26" s="12"/>
      <x:c r="K26" s="11" t="n">
        <x:v>45421.77826827546</x:v>
      </x:c>
      <x:c r="L26" s="11" t="n">
        <x:v>45953.98923381945</x:v>
      </x:c>
      <x:c r="M26" s="11" t="n">
        <x:v>45953.98923540509</x:v>
      </x:c>
      <x:c r="N26" s="13" t="str">
        <x:v>Corrective work and follow-up inspection required.</x:v>
      </x:c>
    </x:row>
    <x:row r="27">
      <x:c r="A27" s="13" t="str">
        <x:v>FICT-TASK-0023</x:v>
      </x:c>
      <x:c r="B27" s="13" t="str">
        <x:v>Service Area 2 - Failed Inspections</x:v>
      </x:c>
      <x:c r="C27" s="10" t="n">
        <x:v>45915</x:v>
      </x:c>
      <x:c r="D27" s="9" t="n">
        <x:f>IF(C27="","Undated",YEAR(C27))</x:f>
        <x:v>2025</x:v>
      </x:c>
      <x:c r="E27" s="9" t="str">
        <x:f>IF(C27="","Undated",TEXT(C27,"yyyy-mm"))</x:f>
        <x:v>2025-09</x:v>
      </x:c>
      <x:c r="F27" s="9" t="str">
        <x:v>Failed Inspections</x:v>
      </x:c>
      <x:c r="G27" s="9" t="str">
        <x:v>Failed Inspection</x:v>
      </x:c>
      <x:c r="H27" s="9" t="str">
        <x:v>Yes</x:v>
      </x:c>
      <x:c r="I27" s="9" t="str">
        <x:v>Reviewer C</x:v>
      </x:c>
      <x:c r="J27" s="12"/>
      <x:c r="K27" s="11" t="n">
        <x:v>45421.77818072917</x:v>
      </x:c>
      <x:c r="L27" s="11" t="n">
        <x:v>45953.98962034722</x:v>
      </x:c>
      <x:c r="M27" s="11" t="n">
        <x:v>45953.989621851855</x:v>
      </x:c>
      <x:c r="N27" s="13" t="str">
        <x:v>Corrective work and follow-up inspection required.</x:v>
      </x:c>
    </x:row>
    <x:row r="28">
      <x:c r="A28" s="13" t="str">
        <x:v>FICT-TASK-0024</x:v>
      </x:c>
      <x:c r="B28" s="13" t="str">
        <x:v>Service Area 3 - Failed Inspections</x:v>
      </x:c>
      <x:c r="C28" s="10" t="n">
        <x:v>45916</x:v>
      </x:c>
      <x:c r="D28" s="9" t="n">
        <x:f>IF(C28="","Undated",YEAR(C28))</x:f>
        <x:v>2025</x:v>
      </x:c>
      <x:c r="E28" s="9" t="str">
        <x:f>IF(C28="","Undated",TEXT(C28,"yyyy-mm"))</x:f>
        <x:v>2025-09</x:v>
      </x:c>
      <x:c r="F28" s="9" t="str">
        <x:v>Failed Inspections</x:v>
      </x:c>
      <x:c r="G28" s="9" t="str">
        <x:v>Failed Inspection</x:v>
      </x:c>
      <x:c r="H28" s="9" t="str">
        <x:v>Yes</x:v>
      </x:c>
      <x:c r="I28" s="9" t="str">
        <x:v>Vendor Representative</x:v>
      </x:c>
      <x:c r="J28" s="12"/>
      <x:c r="K28" s="11" t="n">
        <x:v>45608.92035019676</x:v>
      </x:c>
      <x:c r="L28" s="11" t="n">
        <x:v>45953.99427068287</x:v>
      </x:c>
      <x:c r="M28" s="11" t="n">
        <x:v>45953.99427253472</x:v>
      </x:c>
      <x:c r="N28" s="13" t="str">
        <x:v>Corrective work and follow-up inspection required.</x:v>
      </x:c>
    </x:row>
    <x:row r="29">
      <x:c r="A29" s="13" t="str">
        <x:v>FICT-TASK-0025</x:v>
      </x:c>
      <x:c r="B29" s="13" t="str">
        <x:v>Service Area 4 - Failed Inspections</x:v>
      </x:c>
      <x:c r="C29" s="10" t="n">
        <x:v>45915</x:v>
      </x:c>
      <x:c r="D29" s="9" t="n">
        <x:f>IF(C29="","Undated",YEAR(C29))</x:f>
        <x:v>2025</x:v>
      </x:c>
      <x:c r="E29" s="9" t="str">
        <x:f>IF(C29="","Undated",TEXT(C29,"yyyy-mm"))</x:f>
        <x:v>2025-09</x:v>
      </x:c>
      <x:c r="F29" s="9" t="str">
        <x:v>Failed Inspections</x:v>
      </x:c>
      <x:c r="G29" s="9" t="str">
        <x:v>Failed Inspection</x:v>
      </x:c>
      <x:c r="H29" s="9" t="str">
        <x:v>Yes</x:v>
      </x:c>
      <x:c r="I29" s="9" t="str">
        <x:v>Reviewer A</x:v>
      </x:c>
      <x:c r="J29" s="12"/>
      <x:c r="K29" s="11" t="n">
        <x:v>45518.70083155092</x:v>
      </x:c>
      <x:c r="L29" s="11" t="n">
        <x:v>45953.99459524306</x:v>
      </x:c>
      <x:c r="M29" s="11" t="n">
        <x:v>45953.994596516204</x:v>
      </x:c>
      <x:c r="N29" s="13" t="str">
        <x:v>Corrective work and follow-up inspection required.</x:v>
      </x:c>
    </x:row>
    <x:row r="30">
      <x:c r="A30" s="13" t="str">
        <x:v>FICT-TASK-0026</x:v>
      </x:c>
      <x:c r="B30" s="13" t="str">
        <x:v>Service Area 5 - Failed Inspections</x:v>
      </x:c>
      <x:c r="C30" s="10" t="n">
        <x:v>45915</x:v>
      </x:c>
      <x:c r="D30" s="9" t="n">
        <x:f>IF(C30="","Undated",YEAR(C30))</x:f>
        <x:v>2025</x:v>
      </x:c>
      <x:c r="E30" s="9" t="str">
        <x:f>IF(C30="","Undated",TEXT(C30,"yyyy-mm"))</x:f>
        <x:v>2025-09</x:v>
      </x:c>
      <x:c r="F30" s="9" t="str">
        <x:v>Failed Inspections</x:v>
      </x:c>
      <x:c r="G30" s="9" t="str">
        <x:v>Failed Inspection</x:v>
      </x:c>
      <x:c r="H30" s="9" t="str">
        <x:v>Yes</x:v>
      </x:c>
      <x:c r="I30" s="9" t="str">
        <x:v>Reviewer B</x:v>
      </x:c>
      <x:c r="J30" s="12"/>
      <x:c r="K30" s="11" t="n">
        <x:v>45604.12026899306</x:v>
      </x:c>
      <x:c r="L30" s="11" t="n">
        <x:v>45953.99485524306</x:v>
      </x:c>
      <x:c r="M30" s="11" t="n">
        <x:v>45953.994856655096</x:v>
      </x:c>
      <x:c r="N30" s="13" t="str">
        <x:v>Corrective work and follow-up inspection required.</x:v>
      </x:c>
    </x:row>
    <x:row r="31">
      <x:c r="A31" s="13" t="str">
        <x:v>FICT-TASK-0027</x:v>
      </x:c>
      <x:c r="B31" s="13" t="str">
        <x:v>Service Area 6 - Failed Inspections</x:v>
      </x:c>
      <x:c r="C31" s="10" t="n">
        <x:v>45915</x:v>
      </x:c>
      <x:c r="D31" s="9" t="n">
        <x:f>IF(C31="","Undated",YEAR(C31))</x:f>
        <x:v>2025</x:v>
      </x:c>
      <x:c r="E31" s="9" t="str">
        <x:f>IF(C31="","Undated",TEXT(C31,"yyyy-mm"))</x:f>
        <x:v>2025-09</x:v>
      </x:c>
      <x:c r="F31" s="9" t="str">
        <x:v>Failed Inspections</x:v>
      </x:c>
      <x:c r="G31" s="9" t="str">
        <x:v>Failed Inspection</x:v>
      </x:c>
      <x:c r="H31" s="9" t="str">
        <x:v>Yes</x:v>
      </x:c>
      <x:c r="I31" s="9" t="str">
        <x:v>Reviewer C</x:v>
      </x:c>
      <x:c r="J31" s="12"/>
      <x:c r="K31" s="11" t="n">
        <x:v>45604.12170953704</x:v>
      </x:c>
      <x:c r="L31" s="11" t="n">
        <x:v>45953.996092800924</x:v>
      </x:c>
      <x:c r="M31" s="11" t="n">
        <x:v>45953.99609443287</x:v>
      </x:c>
      <x:c r="N31" s="13" t="str">
        <x:v>Corrective work and follow-up inspection required.</x:v>
      </x:c>
    </x:row>
    <x:row r="32">
      <x:c r="A32" s="13" t="str">
        <x:v>FICT-TASK-0028</x:v>
      </x:c>
      <x:c r="B32" s="13" t="str">
        <x:v>Service Area 7 - Failed Inspections</x:v>
      </x:c>
      <x:c r="C32" s="10" t="n">
        <x:v>45912</x:v>
      </x:c>
      <x:c r="D32" s="9" t="n">
        <x:f>IF(C32="","Undated",YEAR(C32))</x:f>
        <x:v>2025</x:v>
      </x:c>
      <x:c r="E32" s="9" t="str">
        <x:f>IF(C32="","Undated",TEXT(C32,"yyyy-mm"))</x:f>
        <x:v>2025-09</x:v>
      </x:c>
      <x:c r="F32" s="9" t="str">
        <x:v>Failed Inspections</x:v>
      </x:c>
      <x:c r="G32" s="9" t="str">
        <x:v>Failed Inspection</x:v>
      </x:c>
      <x:c r="H32" s="9" t="str">
        <x:v>Yes</x:v>
      </x:c>
      <x:c r="I32" s="9" t="str">
        <x:v>Vendor Representative</x:v>
      </x:c>
      <x:c r="J32" s="12"/>
      <x:c r="K32" s="11" t="n">
        <x:v>45603.7677131713</x:v>
      </x:c>
      <x:c r="L32" s="11" t="n">
        <x:v>45953.99724493056</x:v>
      </x:c>
      <x:c r="M32" s="11" t="n">
        <x:v>45953.99724665509</x:v>
      </x:c>
      <x:c r="N32" s="13" t="str">
        <x:v>Corrective work and follow-up inspection required.</x:v>
      </x:c>
    </x:row>
    <x:row r="33">
      <x:c r="A33" s="13" t="str">
        <x:v>FICT-TASK-0029</x:v>
      </x:c>
      <x:c r="B33" s="13" t="str">
        <x:v>Service Area 1 - Failed Inspections</x:v>
      </x:c>
      <x:c r="C33" s="10" t="n">
        <x:v>45915</x:v>
      </x:c>
      <x:c r="D33" s="9" t="n">
        <x:f>IF(C33="","Undated",YEAR(C33))</x:f>
        <x:v>2025</x:v>
      </x:c>
      <x:c r="E33" s="9" t="str">
        <x:f>IF(C33="","Undated",TEXT(C33,"yyyy-mm"))</x:f>
        <x:v>2025-09</x:v>
      </x:c>
      <x:c r="F33" s="9" t="str">
        <x:v>Failed Inspections</x:v>
      </x:c>
      <x:c r="G33" s="9" t="str">
        <x:v>Failed Inspection</x:v>
      </x:c>
      <x:c r="H33" s="9" t="str">
        <x:v>Yes</x:v>
      </x:c>
      <x:c r="I33" s="9" t="str">
        <x:v>Reviewer A</x:v>
      </x:c>
      <x:c r="J33" s="12"/>
      <x:c r="K33" s="11" t="n">
        <x:v>45603.947700324075</x:v>
      </x:c>
      <x:c r="L33" s="11" t="n">
        <x:v>45953.984775543984</x:v>
      </x:c>
      <x:c r="M33" s="11" t="n">
        <x:v>45953.984777233796</x:v>
      </x:c>
      <x:c r="N33" s="13" t="str">
        <x:v>Corrective work and follow-up inspection required.</x:v>
      </x:c>
    </x:row>
    <x:row r="34">
      <x:c r="A34" s="13" t="str">
        <x:v>FICT-TASK-0030</x:v>
      </x:c>
      <x:c r="B34" s="13" t="str">
        <x:v>Service Area 2 - Failed Inspections</x:v>
      </x:c>
      <x:c r="C34" s="10" t="n">
        <x:v>45915</x:v>
      </x:c>
      <x:c r="D34" s="9" t="n">
        <x:f>IF(C34="","Undated",YEAR(C34))</x:f>
        <x:v>2025</x:v>
      </x:c>
      <x:c r="E34" s="9" t="str">
        <x:f>IF(C34="","Undated",TEXT(C34,"yyyy-mm"))</x:f>
        <x:v>2025-09</x:v>
      </x:c>
      <x:c r="F34" s="9" t="str">
        <x:v>Failed Inspections</x:v>
      </x:c>
      <x:c r="G34" s="9" t="str">
        <x:v>Failed Inspection</x:v>
      </x:c>
      <x:c r="H34" s="9" t="str">
        <x:v>Yes</x:v>
      </x:c>
      <x:c r="I34" s="9" t="str">
        <x:v>Reviewer B</x:v>
      </x:c>
      <x:c r="J34" s="12"/>
      <x:c r="K34" s="11" t="n">
        <x:v>45614.899046342594</x:v>
      </x:c>
      <x:c r="L34" s="11" t="n">
        <x:v>45953.97171304398</x:v>
      </x:c>
      <x:c r="M34" s="11" t="n">
        <x:v>45953.97171456018</x:v>
      </x:c>
      <x:c r="N34" s="13" t="str">
        <x:v>Corrective work and follow-up inspection required.</x:v>
      </x:c>
    </x:row>
    <x:row r="35">
      <x:c r="A35" s="13" t="str">
        <x:v>FICT-TASK-0031</x:v>
      </x:c>
      <x:c r="B35" s="13" t="str">
        <x:v>Service Area 3 - Failed Inspections</x:v>
      </x:c>
      <x:c r="C35" s="10" t="n">
        <x:v>45584</x:v>
      </x:c>
      <x:c r="D35" s="9" t="n">
        <x:f>IF(C35="","Undated",YEAR(C35))</x:f>
        <x:v>2024</x:v>
      </x:c>
      <x:c r="E35" s="9" t="str">
        <x:f>IF(C35="","Undated",TEXT(C35,"yyyy-mm"))</x:f>
        <x:v>2024-10</x:v>
      </x:c>
      <x:c r="F35" s="9" t="str">
        <x:v>Failed Inspections</x:v>
      </x:c>
      <x:c r="G35" s="9" t="str">
        <x:v>Failed Inspection</x:v>
      </x:c>
      <x:c r="H35" s="9" t="str">
        <x:v>No</x:v>
      </x:c>
      <x:c r="I35" s="9" t="str">
        <x:v>Reviewer C</x:v>
      </x:c>
      <x:c r="J35" s="12" t="n">
        <x:v>0</x:v>
      </x:c>
      <x:c r="K35" s="11" t="n">
        <x:v>45583.04017717593</x:v>
      </x:c>
      <x:c r="L35" s="11"/>
      <x:c r="M35" s="11" t="n">
        <x:v>45952.85762278935</x:v>
      </x:c>
      <x:c r="N35" s="13" t="str">
        <x:v>Corrective work and follow-up inspection required.</x:v>
      </x:c>
    </x:row>
    <x:row r="36">
      <x:c r="A36" s="13" t="str">
        <x:v>FICT-TASK-0032</x:v>
      </x:c>
      <x:c r="B36" s="13" t="str">
        <x:v>Service Area 4 - Failed Inspections</x:v>
      </x:c>
      <x:c r="C36" s="10"/>
      <x:c r="D36" s="9" t="str">
        <x:f>IF(C36="","Undated",YEAR(C36))</x:f>
        <x:v>Undated</x:v>
      </x:c>
      <x:c r="E36" s="9" t="str">
        <x:f>IF(C36="","Undated",TEXT(C36,"yyyy-mm"))</x:f>
        <x:v>Undated</x:v>
      </x:c>
      <x:c r="F36" s="9" t="str">
        <x:v>Failed Inspections</x:v>
      </x:c>
      <x:c r="G36" s="9" t="str">
        <x:v>Quality Review!</x:v>
      </x:c>
      <x:c r="H36" s="9" t="str">
        <x:v>Yes</x:v>
      </x:c>
      <x:c r="I36" s="9" t="str">
        <x:v>Vendor Representative</x:v>
      </x:c>
      <x:c r="J36" s="12"/>
      <x:c r="K36" s="11" t="n">
        <x:v>45350.822196608795</x:v>
      </x:c>
      <x:c r="L36" s="11" t="n">
        <x:v>45581.75965386574</x:v>
      </x:c>
      <x:c r="M36" s="11" t="n">
        <x:v>45581.759660497686</x:v>
      </x:c>
      <x:c r="N36" s="13" t="str">
        <x:v>Record routed for quality review.</x:v>
      </x:c>
    </x:row>
    <x:row r="37">
      <x:c r="A37" s="13" t="str">
        <x:v>FICT-TASK-0033</x:v>
      </x:c>
      <x:c r="B37" s="13" t="str">
        <x:v>Service Area 5 - Failed Inspections</x:v>
      </x:c>
      <x:c r="C37" s="10" t="n">
        <x:v>45558</x:v>
      </x:c>
      <x:c r="D37" s="9" t="n">
        <x:f>IF(C37="","Undated",YEAR(C37))</x:f>
        <x:v>2024</x:v>
      </x:c>
      <x:c r="E37" s="9" t="str">
        <x:f>IF(C37="","Undated",TEXT(C37,"yyyy-mm"))</x:f>
        <x:v>2024-09</x:v>
      </x:c>
      <x:c r="F37" s="9" t="str">
        <x:v>Failed Inspections</x:v>
      </x:c>
      <x:c r="G37" s="9" t="str">
        <x:v>Failed Inspection</x:v>
      </x:c>
      <x:c r="H37" s="9" t="str">
        <x:v>Yes</x:v>
      </x:c>
      <x:c r="I37" s="9" t="str">
        <x:v>Reviewer A</x:v>
      </x:c>
      <x:c r="J37" s="12" t="n">
        <x:v>194904</x:v>
      </x:c>
      <x:c r="K37" s="11" t="n">
        <x:v>45348.73523648148</x:v>
      </x:c>
      <x:c r="L37" s="11" t="n">
        <x:v>45581.762877002315</x:v>
      </x:c>
      <x:c r="M37" s="11" t="n">
        <x:v>45581.762882696756</x:v>
      </x:c>
      <x:c r="N37" s="13" t="str">
        <x:v>Corrective work and follow-up inspection required.</x:v>
      </x:c>
    </x:row>
    <x:row r="38">
      <x:c r="A38" s="13" t="str">
        <x:v>FICT-TASK-0034</x:v>
      </x:c>
      <x:c r="B38" s="13" t="str">
        <x:v>Service Area 6 - Failed Inspections</x:v>
      </x:c>
      <x:c r="C38" s="10" t="n">
        <x:v>46006</x:v>
      </x:c>
      <x:c r="D38" s="9" t="n">
        <x:f>IF(C38="","Undated",YEAR(C38))</x:f>
        <x:v>2025</x:v>
      </x:c>
      <x:c r="E38" s="9" t="str">
        <x:f>IF(C38="","Undated",TEXT(C38,"yyyy-mm"))</x:f>
        <x:v>2025-12</x:v>
      </x:c>
      <x:c r="F38" s="9" t="str">
        <x:v>Failed Inspections</x:v>
      </x:c>
      <x:c r="G38" s="9" t="str">
        <x:v>No status</x:v>
      </x:c>
      <x:c r="H38" s="9" t="str">
        <x:v>Yes</x:v>
      </x:c>
      <x:c r="I38" s="9" t="str">
        <x:v>Reviewer B</x:v>
      </x:c>
      <x:c r="J38" s="12"/>
      <x:c r="K38" s="11" t="n">
        <x:v>45603.94694755787</x:v>
      </x:c>
      <x:c r="L38" s="11" t="n">
        <x:v>46035.759773784725</x:v>
      </x:c>
      <x:c r="M38" s="11" t="n">
        <x:v>46035.759788703705</x:v>
      </x:c>
      <x:c r="N38" s="13" t="str">
        <x:v>Status was not populated in the source task.</x:v>
      </x:c>
    </x:row>
    <x:row r="39">
      <x:c r="A39" s="13" t="str">
        <x:v>FICT-TASK-0035</x:v>
      </x:c>
      <x:c r="B39" s="13" t="str">
        <x:v>Service Area 7 - Failed Inspections</x:v>
      </x:c>
      <x:c r="C39" s="10" t="n">
        <x:v>46018</x:v>
      </x:c>
      <x:c r="D39" s="9" t="n">
        <x:f>IF(C39="","Undated",YEAR(C39))</x:f>
        <x:v>2025</x:v>
      </x:c>
      <x:c r="E39" s="9" t="str">
        <x:f>IF(C39="","Undated",TEXT(C39,"yyyy-mm"))</x:f>
        <x:v>2025-12</x:v>
      </x:c>
      <x:c r="F39" s="9" t="str">
        <x:v>Failed Inspections</x:v>
      </x:c>
      <x:c r="G39" s="9" t="str">
        <x:v>No status</x:v>
      </x:c>
      <x:c r="H39" s="9" t="str">
        <x:v>Yes</x:v>
      </x:c>
      <x:c r="I39" s="9" t="str">
        <x:v>Reviewer C</x:v>
      </x:c>
      <x:c r="J39" s="12"/>
      <x:c r="K39" s="11" t="n">
        <x:v>46035.75978082176</x:v>
      </x:c>
      <x:c r="L39" s="11" t="n">
        <x:v>46053.066920335645</x:v>
      </x:c>
      <x:c r="M39" s="11" t="n">
        <x:v>46053.06692640046</x:v>
      </x:c>
      <x:c r="N39" s="13" t="str">
        <x:v>Status was not populated in the source task.</x:v>
      </x:c>
    </x:row>
    <x:row r="40">
      <x:c r="A40" s="13" t="str">
        <x:v>FICT-TASK-0036</x:v>
      </x:c>
      <x:c r="B40" s="13" t="str">
        <x:v>Service Area 1 - Failed Inspections</x:v>
      </x:c>
      <x:c r="C40" s="10" t="n">
        <x:v>46096</x:v>
      </x:c>
      <x:c r="D40" s="9" t="n">
        <x:f>IF(C40="","Undated",YEAR(C40))</x:f>
        <x:v>2026</x:v>
      </x:c>
      <x:c r="E40" s="9" t="str">
        <x:f>IF(C40="","Undated",TEXT(C40,"yyyy-mm"))</x:f>
        <x:v>2026-03</x:v>
      </x:c>
      <x:c r="F40" s="9" t="str">
        <x:v>Failed Inspections</x:v>
      </x:c>
      <x:c r="G40" s="9" t="str">
        <x:v>Compliant Received</x:v>
      </x:c>
      <x:c r="H40" s="9" t="str">
        <x:v>Yes</x:v>
      </x:c>
      <x:c r="I40" s="9" t="str">
        <x:v>Vendor Representative</x:v>
      </x:c>
      <x:c r="J40" s="12"/>
      <x:c r="K40" s="11" t="n">
        <x:v>46053.066936180556</x:v>
      </x:c>
      <x:c r="L40" s="11" t="n">
        <x:v>46122.867185601855</x:v>
      </x:c>
      <x:c r="M40" s="11" t="n">
        <x:v>46122.86719103009</x:v>
      </x:c>
      <x:c r="N40" s="13" t="str">
        <x:v>Required compliance documentation received.</x:v>
      </x:c>
    </x:row>
    <x:row r="41">
      <x:c r="A41" s="13" t="str">
        <x:v>FICT-TASK-0037</x:v>
      </x:c>
      <x:c r="B41" s="13" t="str">
        <x:v>Service Area 2 - Failed Inspections</x:v>
      </x:c>
      <x:c r="C41" s="10" t="n">
        <x:v>46142</x:v>
      </x:c>
      <x:c r="D41" s="9" t="n">
        <x:f>IF(C41="","Undated",YEAR(C41))</x:f>
        <x:v>2026</x:v>
      </x:c>
      <x:c r="E41" s="9" t="str">
        <x:f>IF(C41="","Undated",TEXT(C41,"yyyy-mm"))</x:f>
        <x:v>2026-04</x:v>
      </x:c>
      <x:c r="F41" s="9" t="str">
        <x:v>Failed Inspections</x:v>
      </x:c>
      <x:c r="G41" s="9" t="str">
        <x:v>Compliant Received</x:v>
      </x:c>
      <x:c r="H41" s="9" t="str">
        <x:v>Yes</x:v>
      </x:c>
      <x:c r="I41" s="9" t="str">
        <x:v>Reviewer A</x:v>
      </x:c>
      <x:c r="J41" s="12"/>
      <x:c r="K41" s="11" t="n">
        <x:v>46122.86719747685</x:v>
      </x:c>
      <x:c r="L41" s="11" t="n">
        <x:v>46176.001581550925</x:v>
      </x:c>
      <x:c r="M41" s="11" t="n">
        <x:v>46176.001587025465</x:v>
      </x:c>
      <x:c r="N41" s="13" t="str">
        <x:v>Required compliance documentation received.</x:v>
      </x:c>
    </x:row>
    <x:row r="42">
      <x:c r="A42" s="13" t="str">
        <x:v>FICT-TASK-0038</x:v>
      </x:c>
      <x:c r="B42" s="13" t="str">
        <x:v>Service Area 3 - Failed Inspections</x:v>
      </x:c>
      <x:c r="C42" s="10" t="n">
        <x:v>46158</x:v>
      </x:c>
      <x:c r="D42" s="9" t="n">
        <x:f>IF(C42="","Undated",YEAR(C42))</x:f>
        <x:v>2026</x:v>
      </x:c>
      <x:c r="E42" s="9" t="str">
        <x:f>IF(C42="","Undated",TEXT(C42,"yyyy-mm"))</x:f>
        <x:v>2026-05</x:v>
      </x:c>
      <x:c r="F42" s="9" t="str">
        <x:v>Failed Inspections</x:v>
      </x:c>
      <x:c r="G42" s="9" t="str">
        <x:v>Compliant Received</x:v>
      </x:c>
      <x:c r="H42" s="9" t="str">
        <x:v>Yes</x:v>
      </x:c>
      <x:c r="I42" s="9" t="str">
        <x:v>Reviewer B</x:v>
      </x:c>
      <x:c r="J42" s="12"/>
      <x:c r="K42" s="11" t="n">
        <x:v>46176.00161177084</x:v>
      </x:c>
      <x:c r="L42" s="11" t="n">
        <x:v>46178.84228597222</x:v>
      </x:c>
      <x:c r="M42" s="11" t="n">
        <x:v>46178.84229136574</x:v>
      </x:c>
      <x:c r="N42" s="13" t="str">
        <x:v>Required compliance documentation received.</x:v>
      </x:c>
    </x:row>
    <x:row r="43">
      <x:c r="A43" s="13" t="str">
        <x:v>FICT-TASK-0039</x:v>
      </x:c>
      <x:c r="B43" s="13" t="str">
        <x:v>Service Area 4 - Failed Inspections</x:v>
      </x:c>
      <x:c r="C43" s="10" t="n">
        <x:v>46237</x:v>
      </x:c>
      <x:c r="D43" s="9" t="n">
        <x:f>IF(C43="","Undated",YEAR(C43))</x:f>
        <x:v>2026</x:v>
      </x:c>
      <x:c r="E43" s="9" t="str">
        <x:f>IF(C43="","Undated",TEXT(C43,"yyyy-mm"))</x:f>
        <x:v>2026-08</x:v>
      </x:c>
      <x:c r="F43" s="9" t="str">
        <x:v>Failed Inspections</x:v>
      </x:c>
      <x:c r="G43" s="9" t="str">
        <x:v>Compliant Received</x:v>
      </x:c>
      <x:c r="H43" s="9" t="str">
        <x:v>No</x:v>
      </x:c>
      <x:c r="I43" s="9" t="str">
        <x:v>Reviewer C</x:v>
      </x:c>
      <x:c r="J43" s="12"/>
      <x:c r="K43" s="11" t="n">
        <x:v>46178.842299525466</x:v>
      </x:c>
      <x:c r="L43" s="11"/>
      <x:c r="M43" s="11" t="n">
        <x:v>46241.99250519676</x:v>
      </x:c>
      <x:c r="N43" s="13" t="str">
        <x:v>Required compliance documentation received.</x:v>
      </x:c>
    </x:row>
    <x:row r="44">
      <x:c r="A44" s="13" t="str">
        <x:v>FICT-TASK-0040</x:v>
      </x:c>
      <x:c r="B44" s="13" t="str">
        <x:v>Service Area 5 - Failed Inspections</x:v>
      </x:c>
      <x:c r="C44" s="10" t="n">
        <x:v>45390</x:v>
      </x:c>
      <x:c r="D44" s="9" t="n">
        <x:f>IF(C44="","Undated",YEAR(C44))</x:f>
        <x:v>2024</x:v>
      </x:c>
      <x:c r="E44" s="9" t="str">
        <x:f>IF(C44="","Undated",TEXT(C44,"yyyy-mm"))</x:f>
        <x:v>2024-04</x:v>
      </x:c>
      <x:c r="F44" s="9" t="str">
        <x:v>Failed Inspections</x:v>
      </x:c>
      <x:c r="G44" s="9" t="str">
        <x:v>Quality Review!</x:v>
      </x:c>
      <x:c r="H44" s="9" t="str">
        <x:v>Yes</x:v>
      </x:c>
      <x:c r="I44" s="9" t="str">
        <x:v>Vendor Representative</x:v>
      </x:c>
      <x:c r="J44" s="12"/>
      <x:c r="K44" s="11" t="n">
        <x:v>45373.9349446412</x:v>
      </x:c>
      <x:c r="L44" s="11" t="n">
        <x:v>45581.76030228009</x:v>
      </x:c>
      <x:c r="M44" s="11" t="n">
        <x:v>45581.760310578706</x:v>
      </x:c>
      <x:c r="N44" s="13" t="str">
        <x:v>Record routed for quality review.</x:v>
      </x:c>
    </x:row>
    <x:row r="45">
      <x:c r="A45" s="13" t="str">
        <x:v>FICT-TASK-0041</x:v>
      </x:c>
      <x:c r="B45" s="13" t="str">
        <x:v>Service Area 6 - Failed Inspections</x:v>
      </x:c>
      <x:c r="C45" s="10" t="n">
        <x:v>45976</x:v>
      </x:c>
      <x:c r="D45" s="9" t="n">
        <x:f>IF(C45="","Undated",YEAR(C45))</x:f>
        <x:v>2025</x:v>
      </x:c>
      <x:c r="E45" s="9" t="str">
        <x:f>IF(C45="","Undated",TEXT(C45,"yyyy-mm"))</x:f>
        <x:v>2025-11</x:v>
      </x:c>
      <x:c r="F45" s="9" t="str">
        <x:v>Failed Inspections</x:v>
      </x:c>
      <x:c r="G45" s="9" t="str">
        <x:v>No status</x:v>
      </x:c>
      <x:c r="H45" s="9" t="str">
        <x:v>Yes</x:v>
      </x:c>
      <x:c r="I45" s="9" t="str">
        <x:v>Reviewer A</x:v>
      </x:c>
      <x:c r="J45" s="12"/>
      <x:c r="K45" s="11" t="n">
        <x:v>45491.86037568287</x:v>
      </x:c>
      <x:c r="L45" s="11" t="n">
        <x:v>46035.76094861111</x:v>
      </x:c>
      <x:c r="M45" s="11" t="n">
        <x:v>46035.76098796296</x:v>
      </x:c>
      <x:c r="N45" s="13" t="str">
        <x:v>Status was not populated in the source task.</x:v>
      </x:c>
    </x:row>
    <x:row r="46">
      <x:c r="A46" s="13" t="str">
        <x:v>FICT-TASK-0042</x:v>
      </x:c>
      <x:c r="B46" s="13" t="str">
        <x:v>Service Area 7 - Failed Inspections</x:v>
      </x:c>
      <x:c r="C46" s="10" t="n">
        <x:v>45990</x:v>
      </x:c>
      <x:c r="D46" s="9" t="n">
        <x:f>IF(C46="","Undated",YEAR(C46))</x:f>
        <x:v>2025</x:v>
      </x:c>
      <x:c r="E46" s="9" t="str">
        <x:f>IF(C46="","Undated",TEXT(C46,"yyyy-mm"))</x:f>
        <x:v>2025-11</x:v>
      </x:c>
      <x:c r="F46" s="9" t="str">
        <x:v>Failed Inspections</x:v>
      </x:c>
      <x:c r="G46" s="9" t="str">
        <x:v>No status</x:v>
      </x:c>
      <x:c r="H46" s="9" t="str">
        <x:v>Yes</x:v>
      </x:c>
      <x:c r="I46" s="9" t="str">
        <x:v>Reviewer B</x:v>
      </x:c>
      <x:c r="J46" s="12"/>
      <x:c r="K46" s="11" t="n">
        <x:v>46035.76095959491</x:v>
      </x:c>
      <x:c r="L46" s="11" t="n">
        <x:v>46035.761315069445</x:v>
      </x:c>
      <x:c r="M46" s="11" t="n">
        <x:v>46035.76133927083</x:v>
      </x:c>
      <x:c r="N46" s="13" t="str">
        <x:v>Status was not populated in the source task.</x:v>
      </x:c>
    </x:row>
    <x:row r="47">
      <x:c r="A47" s="13" t="str">
        <x:v>FICT-TASK-0043</x:v>
      </x:c>
      <x:c r="B47" s="13" t="str">
        <x:v>Service Area 1 - Failed Inspections</x:v>
      </x:c>
      <x:c r="C47" s="10" t="n">
        <x:v>46004</x:v>
      </x:c>
      <x:c r="D47" s="9" t="n">
        <x:f>IF(C47="","Undated",YEAR(C47))</x:f>
        <x:v>2025</x:v>
      </x:c>
      <x:c r="E47" s="9" t="str">
        <x:f>IF(C47="","Undated",TEXT(C47,"yyyy-mm"))</x:f>
        <x:v>2025-12</x:v>
      </x:c>
      <x:c r="F47" s="9" t="str">
        <x:v>Failed Inspections</x:v>
      </x:c>
      <x:c r="G47" s="9" t="str">
        <x:v>No status</x:v>
      </x:c>
      <x:c r="H47" s="9" t="str">
        <x:v>Yes</x:v>
      </x:c>
      <x:c r="I47" s="9" t="str">
        <x:v>Reviewer C</x:v>
      </x:c>
      <x:c r="J47" s="12"/>
      <x:c r="K47" s="11" t="n">
        <x:v>46035.7613524537</x:v>
      </x:c>
      <x:c r="L47" s="11" t="n">
        <x:v>46035.761672534725</x:v>
      </x:c>
      <x:c r="M47" s="11" t="n">
        <x:v>46035.7616941088</x:v>
      </x:c>
      <x:c r="N47" s="13" t="str">
        <x:v>Status was not populated in the source task.</x:v>
      </x:c>
    </x:row>
    <x:row r="48">
      <x:c r="A48" s="13" t="str">
        <x:v>FICT-TASK-0044</x:v>
      </x:c>
      <x:c r="B48" s="13" t="str">
        <x:v>Service Area 2 - Failed Inspections</x:v>
      </x:c>
      <x:c r="C48" s="10" t="n">
        <x:v>46018</x:v>
      </x:c>
      <x:c r="D48" s="9" t="n">
        <x:f>IF(C48="","Undated",YEAR(C48))</x:f>
        <x:v>2025</x:v>
      </x:c>
      <x:c r="E48" s="9" t="str">
        <x:f>IF(C48="","Undated",TEXT(C48,"yyyy-mm"))</x:f>
        <x:v>2025-12</x:v>
      </x:c>
      <x:c r="F48" s="9" t="str">
        <x:v>Failed Inspections</x:v>
      </x:c>
      <x:c r="G48" s="9" t="str">
        <x:v>No status</x:v>
      </x:c>
      <x:c r="H48" s="9" t="str">
        <x:v>Yes</x:v>
      </x:c>
      <x:c r="I48" s="9" t="str">
        <x:v>Vendor Representative</x:v>
      </x:c>
      <x:c r="J48" s="12"/>
      <x:c r="K48" s="11" t="n">
        <x:v>46035.76168162037</x:v>
      </x:c>
      <x:c r="L48" s="11" t="n">
        <x:v>46053.06794947917</x:v>
      </x:c>
      <x:c r="M48" s="11" t="n">
        <x:v>46053.06795427083</x:v>
      </x:c>
      <x:c r="N48" s="13" t="str">
        <x:v>Status was not populated in the source task.</x:v>
      </x:c>
    </x:row>
    <x:row r="49">
      <x:c r="A49" s="13" t="str">
        <x:v>FICT-TASK-0045</x:v>
      </x:c>
      <x:c r="B49" s="13" t="str">
        <x:v>Service Area 3 - Failed Inspections</x:v>
      </x:c>
      <x:c r="C49" s="10" t="n">
        <x:v>46096</x:v>
      </x:c>
      <x:c r="D49" s="9" t="n">
        <x:f>IF(C49="","Undated",YEAR(C49))</x:f>
        <x:v>2026</x:v>
      </x:c>
      <x:c r="E49" s="9" t="str">
        <x:f>IF(C49="","Undated",TEXT(C49,"yyyy-mm"))</x:f>
        <x:v>2026-03</x:v>
      </x:c>
      <x:c r="F49" s="9" t="str">
        <x:v>Failed Inspections</x:v>
      </x:c>
      <x:c r="G49" s="9" t="str">
        <x:v>No status</x:v>
      </x:c>
      <x:c r="H49" s="9" t="str">
        <x:v>Yes</x:v>
      </x:c>
      <x:c r="I49" s="9" t="str">
        <x:v>Reviewer A</x:v>
      </x:c>
      <x:c r="J49" s="12"/>
      <x:c r="K49" s="11" t="n">
        <x:v>46053.06798537037</x:v>
      </x:c>
      <x:c r="L49" s="11" t="n">
        <x:v>46122.86836571759</x:v>
      </x:c>
      <x:c r="M49" s="11" t="n">
        <x:v>46122.86836957176</x:v>
      </x:c>
      <x:c r="N49" s="13" t="str">
        <x:v>Status was not populated in the source task.</x:v>
      </x:c>
    </x:row>
    <x:row r="50">
      <x:c r="A50" s="13" t="str">
        <x:v>FICT-TASK-0046</x:v>
      </x:c>
      <x:c r="B50" s="13" t="str">
        <x:v>Service Area 4 - Failed Inspections</x:v>
      </x:c>
      <x:c r="C50" s="10" t="n">
        <x:v>46142</x:v>
      </x:c>
      <x:c r="D50" s="9" t="n">
        <x:f>IF(C50="","Undated",YEAR(C50))</x:f>
        <x:v>2026</x:v>
      </x:c>
      <x:c r="E50" s="9" t="str">
        <x:f>IF(C50="","Undated",TEXT(C50,"yyyy-mm"))</x:f>
        <x:v>2026-04</x:v>
      </x:c>
      <x:c r="F50" s="9" t="str">
        <x:v>Failed Inspections</x:v>
      </x:c>
      <x:c r="G50" s="9" t="str">
        <x:v>No status</x:v>
      </x:c>
      <x:c r="H50" s="9" t="str">
        <x:v>Yes</x:v>
      </x:c>
      <x:c r="I50" s="9" t="str">
        <x:v>Reviewer B</x:v>
      </x:c>
      <x:c r="J50" s="12"/>
      <x:c r="K50" s="11" t="n">
        <x:v>46122.86837597222</x:v>
      </x:c>
      <x:c r="L50" s="11" t="n">
        <x:v>46176.00210496528</x:v>
      </x:c>
      <x:c r="M50" s="11" t="n">
        <x:v>46176.00210820602</x:v>
      </x:c>
      <x:c r="N50" s="13" t="str">
        <x:v>Status was not populated in the source task.</x:v>
      </x:c>
    </x:row>
    <x:row r="51">
      <x:c r="A51" s="13" t="str">
        <x:v>FICT-TASK-0047</x:v>
      </x:c>
      <x:c r="B51" s="13" t="str">
        <x:v>Service Area 5 - Failed Inspections</x:v>
      </x:c>
      <x:c r="C51" s="10" t="n">
        <x:v>46158</x:v>
      </x:c>
      <x:c r="D51" s="9" t="n">
        <x:f>IF(C51="","Undated",YEAR(C51))</x:f>
        <x:v>2026</x:v>
      </x:c>
      <x:c r="E51" s="9" t="str">
        <x:f>IF(C51="","Undated",TEXT(C51,"yyyy-mm"))</x:f>
        <x:v>2026-05</x:v>
      </x:c>
      <x:c r="F51" s="9" t="str">
        <x:v>Failed Inspections</x:v>
      </x:c>
      <x:c r="G51" s="9" t="str">
        <x:v>No status</x:v>
      </x:c>
      <x:c r="H51" s="9" t="str">
        <x:v>Yes</x:v>
      </x:c>
      <x:c r="I51" s="9" t="str">
        <x:v>Reviewer C</x:v>
      </x:c>
      <x:c r="J51" s="12"/>
      <x:c r="K51" s="11" t="n">
        <x:v>46176.002165046295</x:v>
      </x:c>
      <x:c r="L51" s="11" t="n">
        <x:v>46178.84380945602</x:v>
      </x:c>
      <x:c r="M51" s="11" t="n">
        <x:v>46178.84381387731</x:v>
      </x:c>
      <x:c r="N51" s="13" t="str">
        <x:v>Status was not populated in the source task.</x:v>
      </x:c>
    </x:row>
    <x:row r="52">
      <x:c r="A52" s="13" t="str">
        <x:v>FICT-TASK-0048</x:v>
      </x:c>
      <x:c r="B52" s="13" t="str">
        <x:v>Service Area 6 - Failed Inspections</x:v>
      </x:c>
      <x:c r="C52" s="10" t="n">
        <x:v>45550</x:v>
      </x:c>
      <x:c r="D52" s="9" t="n">
        <x:f>IF(C52="","Undated",YEAR(C52))</x:f>
        <x:v>2024</x:v>
      </x:c>
      <x:c r="E52" s="9" t="str">
        <x:f>IF(C52="","Undated",TEXT(C52,"yyyy-mm"))</x:f>
        <x:v>2024-09</x:v>
      </x:c>
      <x:c r="F52" s="9" t="str">
        <x:v>Failed Inspections</x:v>
      </x:c>
      <x:c r="G52" s="9" t="str">
        <x:v>Failed Inspection</x:v>
      </x:c>
      <x:c r="H52" s="9" t="str">
        <x:v>No</x:v>
      </x:c>
      <x:c r="I52" s="9" t="str">
        <x:v>Vendor Representative</x:v>
      </x:c>
      <x:c r="J52" s="12"/>
      <x:c r="K52" s="11" t="n">
        <x:v>45548.883259664355</x:v>
      </x:c>
      <x:c r="L52" s="11"/>
      <x:c r="M52" s="11" t="n">
        <x:v>45952.859159733795</x:v>
      </x:c>
      <x:c r="N52" s="13" t="str">
        <x:v>Corrective work and follow-up inspection required.</x:v>
      </x:c>
    </x:row>
    <x:row r="53">
      <x:c r="A53" s="13" t="str">
        <x:v>FICT-TASK-0049</x:v>
      </x:c>
      <x:c r="B53" s="13" t="str">
        <x:v>Service Area 7 - Failed Inspections</x:v>
      </x:c>
      <x:c r="C53" s="10" t="n">
        <x:v>45550</x:v>
      </x:c>
      <x:c r="D53" s="9" t="n">
        <x:f>IF(C53="","Undated",YEAR(C53))</x:f>
        <x:v>2024</x:v>
      </x:c>
      <x:c r="E53" s="9" t="str">
        <x:f>IF(C53="","Undated",TEXT(C53,"yyyy-mm"))</x:f>
        <x:v>2024-09</x:v>
      </x:c>
      <x:c r="F53" s="9" t="str">
        <x:v>Failed Inspections</x:v>
      </x:c>
      <x:c r="G53" s="9" t="str">
        <x:v>Failed Inspection</x:v>
      </x:c>
      <x:c r="H53" s="9" t="str">
        <x:v>No</x:v>
      </x:c>
      <x:c r="I53" s="9" t="str">
        <x:v>Reviewer A</x:v>
      </x:c>
      <x:c r="J53" s="12"/>
      <x:c r="K53" s="11" t="n">
        <x:v>45548.881785289355</x:v>
      </x:c>
      <x:c r="L53" s="11"/>
      <x:c r="M53" s="11" t="n">
        <x:v>45952.85629834491</x:v>
      </x:c>
      <x:c r="N53" s="13" t="str">
        <x:v>Corrective work and follow-up inspection required.</x:v>
      </x:c>
    </x:row>
    <x:row r="54">
      <x:c r="A54" s="13" t="str">
        <x:v>FICT-TASK-0050</x:v>
      </x:c>
      <x:c r="B54" s="13" t="str">
        <x:v>Service Area 1 - Failed Inspections</x:v>
      </x:c>
      <x:c r="C54" s="10" t="n">
        <x:v>45559</x:v>
      </x:c>
      <x:c r="D54" s="9" t="n">
        <x:f>IF(C54="","Undated",YEAR(C54))</x:f>
        <x:v>2024</x:v>
      </x:c>
      <x:c r="E54" s="9" t="str">
        <x:f>IF(C54="","Undated",TEXT(C54,"yyyy-mm"))</x:f>
        <x:v>2024-09</x:v>
      </x:c>
      <x:c r="F54" s="9" t="str">
        <x:v>Failed Inspections</x:v>
      </x:c>
      <x:c r="G54" s="9" t="str">
        <x:v>Quality Review!</x:v>
      </x:c>
      <x:c r="H54" s="9" t="str">
        <x:v>No</x:v>
      </x:c>
      <x:c r="I54" s="9" t="str">
        <x:v>Reviewer B</x:v>
      </x:c>
      <x:c r="J54" s="12"/>
      <x:c r="K54" s="11" t="n">
        <x:v>45559.769719525466</x:v>
      </x:c>
      <x:c r="L54" s="11"/>
      <x:c r="M54" s="11" t="n">
        <x:v>45559.770933182874</x:v>
      </x:c>
      <x:c r="N54" s="13" t="str">
        <x:v>Record routed for quality review.</x:v>
      </x:c>
    </x:row>
    <x:row r="55">
      <x:c r="A55" s="13" t="str">
        <x:v>FICT-TASK-0051</x:v>
      </x:c>
      <x:c r="B55" s="13" t="str">
        <x:v>Service Area 2 - Failed Inspections</x:v>
      </x:c>
      <x:c r="C55" s="10" t="n">
        <x:v>45122</x:v>
      </x:c>
      <x:c r="D55" s="9" t="n">
        <x:f>IF(C55="","Undated",YEAR(C55))</x:f>
        <x:v>2023</x:v>
      </x:c>
      <x:c r="E55" s="9" t="str">
        <x:f>IF(C55="","Undated",TEXT(C55,"yyyy-mm"))</x:f>
        <x:v>2023-07</x:v>
      </x:c>
      <x:c r="F55" s="9" t="str">
        <x:v>Failed Inspections</x:v>
      </x:c>
      <x:c r="G55" s="9" t="str">
        <x:v>Failed Inspection</x:v>
      </x:c>
      <x:c r="H55" s="9" t="str">
        <x:v>Yes</x:v>
      </x:c>
      <x:c r="I55" s="9" t="str">
        <x:v>Reviewer C</x:v>
      </x:c>
      <x:c r="J55" s="12"/>
      <x:c r="K55" s="11" t="n">
        <x:v>45123.00757657408</x:v>
      </x:c>
      <x:c r="L55" s="11" t="n">
        <x:v>45134.957594467596</x:v>
      </x:c>
      <x:c r="M55" s="11" t="n">
        <x:v>45134.957598483794</x:v>
      </x:c>
      <x:c r="N55" s="13" t="str">
        <x:v>Corrective work and follow-up inspection required.</x:v>
      </x:c>
    </x:row>
    <x:row r="56">
      <x:c r="A56" s="13" t="str">
        <x:v>FICT-TASK-0052</x:v>
      </x:c>
      <x:c r="B56" s="13" t="str">
        <x:v>Service Area 3 - Failed Inspections</x:v>
      </x:c>
      <x:c r="C56" s="10"/>
      <x:c r="D56" s="9" t="str">
        <x:f>IF(C56="","Undated",YEAR(C56))</x:f>
        <x:v>Undated</x:v>
      </x:c>
      <x:c r="E56" s="9" t="str">
        <x:f>IF(C56="","Undated",TEXT(C56,"yyyy-mm"))</x:f>
        <x:v>Undated</x:v>
      </x:c>
      <x:c r="F56" s="9" t="str">
        <x:v>Failed Inspections</x:v>
      </x:c>
      <x:c r="G56" s="9" t="str">
        <x:v>Failed Inspection</x:v>
      </x:c>
      <x:c r="H56" s="9" t="str">
        <x:v>Yes</x:v>
      </x:c>
      <x:c r="I56" s="9" t="str">
        <x:v>Vendor Representative</x:v>
      </x:c>
      <x:c r="J56" s="12"/>
      <x:c r="K56" s="11" t="n">
        <x:v>44796.8976628588</x:v>
      </x:c>
      <x:c r="L56" s="11" t="n">
        <x:v>44817.658505775464</x:v>
      </x:c>
      <x:c r="M56" s="11" t="n">
        <x:v>44852.93499583333</x:v>
      </x:c>
      <x:c r="N56" s="13" t="str">
        <x:v>Corrective work and follow-up inspection required.</x:v>
      </x:c>
    </x:row>
    <x:row r="57">
      <x:c r="A57" s="13" t="str">
        <x:v>FICT-TASK-0053</x:v>
      </x:c>
      <x:c r="B57" s="13" t="str">
        <x:v>Service Area 4 - Failed Inspections</x:v>
      </x:c>
      <x:c r="C57" s="10"/>
      <x:c r="D57" s="9" t="str">
        <x:f>IF(C57="","Undated",YEAR(C57))</x:f>
        <x:v>Undated</x:v>
      </x:c>
      <x:c r="E57" s="9" t="str">
        <x:f>IF(C57="","Undated",TEXT(C57,"yyyy-mm"))</x:f>
        <x:v>Undated</x:v>
      </x:c>
      <x:c r="F57" s="9" t="str">
        <x:v>Failed Inspections</x:v>
      </x:c>
      <x:c r="G57" s="9" t="str">
        <x:v>Failed Inspection</x:v>
      </x:c>
      <x:c r="H57" s="9" t="str">
        <x:v>Yes</x:v>
      </x:c>
      <x:c r="I57" s="9" t="str">
        <x:v>Reviewer A</x:v>
      </x:c>
      <x:c r="J57" s="12"/>
      <x:c r="K57" s="11" t="n">
        <x:v>44813.86543960648</x:v>
      </x:c>
      <x:c r="L57" s="11" t="n">
        <x:v>44844.99780606481</x:v>
      </x:c>
      <x:c r="M57" s="11" t="n">
        <x:v>44852.93464306713</x:v>
      </x:c>
      <x:c r="N57" s="13" t="str">
        <x:v>Corrective work and follow-up inspection required.</x:v>
      </x:c>
    </x:row>
    <x:row r="58">
      <x:c r="A58" s="13" t="str">
        <x:v>FICT-TASK-0054</x:v>
      </x:c>
      <x:c r="B58" s="13" t="str">
        <x:v>Service Area 5 - Failed Inspections</x:v>
      </x:c>
      <x:c r="C58" s="10" t="n">
        <x:v>44810</x:v>
      </x:c>
      <x:c r="D58" s="9" t="n">
        <x:f>IF(C58="","Undated",YEAR(C58))</x:f>
        <x:v>2022</x:v>
      </x:c>
      <x:c r="E58" s="9" t="str">
        <x:f>IF(C58="","Undated",TEXT(C58,"yyyy-mm"))</x:f>
        <x:v>2022-09</x:v>
      </x:c>
      <x:c r="F58" s="9" t="str">
        <x:v>Failed Inspections</x:v>
      </x:c>
      <x:c r="G58" s="9" t="str">
        <x:v>Failed Inspection</x:v>
      </x:c>
      <x:c r="H58" s="9" t="str">
        <x:v>Yes</x:v>
      </x:c>
      <x:c r="I58" s="9" t="str">
        <x:v>Reviewer B</x:v>
      </x:c>
      <x:c r="J58" s="12"/>
      <x:c r="K58" s="11" t="n">
        <x:v>44811.04267074074</x:v>
      </x:c>
      <x:c r="L58" s="11" t="n">
        <x:v>44830.985034143516</x:v>
      </x:c>
      <x:c r="M58" s="11" t="n">
        <x:v>44852.93022392361</x:v>
      </x:c>
      <x:c r="N58" s="13" t="str">
        <x:v>Corrective work and follow-up inspection required.</x:v>
      </x:c>
    </x:row>
    <x:row r="59">
      <x:c r="A59" s="13" t="str">
        <x:v>FICT-TASK-0055</x:v>
      </x:c>
      <x:c r="B59" s="13" t="str">
        <x:v>Service Area 6 - Failed Inspections</x:v>
      </x:c>
      <x:c r="C59" s="10" t="n">
        <x:v>44509</x:v>
      </x:c>
      <x:c r="D59" s="9" t="n">
        <x:f>IF(C59="","Undated",YEAR(C59))</x:f>
        <x:v>2021</x:v>
      </x:c>
      <x:c r="E59" s="9" t="str">
        <x:f>IF(C59="","Undated",TEXT(C59,"yyyy-mm"))</x:f>
        <x:v>2021-11</x:v>
      </x:c>
      <x:c r="F59" s="9" t="str">
        <x:v>Failed Inspections</x:v>
      </x:c>
      <x:c r="G59" s="9" t="str">
        <x:v>Failed Inspection</x:v>
      </x:c>
      <x:c r="H59" s="9" t="str">
        <x:v>Yes</x:v>
      </x:c>
      <x:c r="I59" s="9" t="str">
        <x:v>Reviewer C</x:v>
      </x:c>
      <x:c r="J59" s="12"/>
      <x:c r="K59" s="11" t="n">
        <x:v>44470.8758043287</x:v>
      </x:c>
      <x:c r="L59" s="11" t="n">
        <x:v>44566.08798783565</x:v>
      </x:c>
      <x:c r="M59" s="11" t="n">
        <x:v>44852.924822175926</x:v>
      </x:c>
      <x:c r="N59" s="13" t="str">
        <x:v>Corrective work and follow-up inspection required.</x:v>
      </x:c>
    </x:row>
    <x:row r="60">
      <x:c r="A60" s="13" t="str">
        <x:v>FICT-TASK-0056</x:v>
      </x:c>
      <x:c r="B60" s="13" t="str">
        <x:v>Service Area 7 - Failed Inspections</x:v>
      </x:c>
      <x:c r="C60" s="10" t="n">
        <x:v>44578</x:v>
      </x:c>
      <x:c r="D60" s="9" t="n">
        <x:f>IF(C60="","Undated",YEAR(C60))</x:f>
        <x:v>2022</x:v>
      </x:c>
      <x:c r="E60" s="9" t="str">
        <x:f>IF(C60="","Undated",TEXT(C60,"yyyy-mm"))</x:f>
        <x:v>2022-01</x:v>
      </x:c>
      <x:c r="F60" s="9" t="str">
        <x:v>Failed Inspections</x:v>
      </x:c>
      <x:c r="G60" s="9" t="str">
        <x:v>Failed Inspection</x:v>
      </x:c>
      <x:c r="H60" s="9" t="str">
        <x:v>Yes</x:v>
      </x:c>
      <x:c r="I60" s="9" t="str">
        <x:v>Vendor Representative</x:v>
      </x:c>
      <x:c r="J60" s="12"/>
      <x:c r="K60" s="11" t="n">
        <x:v>44589.041289837965</x:v>
      </x:c>
      <x:c r="L60" s="11" t="n">
        <x:v>44589.84188480324</x:v>
      </x:c>
      <x:c r="M60" s="11" t="n">
        <x:v>44852.92405097222</x:v>
      </x:c>
      <x:c r="N60" s="13" t="str">
        <x:v>Corrective work and follow-up inspection required.</x:v>
      </x:c>
    </x:row>
    <x:row r="61">
      <x:c r="A61" s="13" t="str">
        <x:v>FICT-TASK-0057</x:v>
      </x:c>
      <x:c r="B61" s="13" t="str">
        <x:v>Service Area 1 - Failed Inspections</x:v>
      </x:c>
      <x:c r="C61" s="10"/>
      <x:c r="D61" s="9" t="str">
        <x:f>IF(C61="","Undated",YEAR(C61))</x:f>
        <x:v>Undated</x:v>
      </x:c>
      <x:c r="E61" s="9" t="str">
        <x:f>IF(C61="","Undated",TEXT(C61,"yyyy-mm"))</x:f>
        <x:v>Undated</x:v>
      </x:c>
      <x:c r="F61" s="9" t="str">
        <x:v>Failed Inspections</x:v>
      </x:c>
      <x:c r="G61" s="9" t="str">
        <x:v>Failed Inspection</x:v>
      </x:c>
      <x:c r="H61" s="9" t="str">
        <x:v>Yes</x:v>
      </x:c>
      <x:c r="I61" s="9" t="str">
        <x:v>Reviewer A</x:v>
      </x:c>
      <x:c r="J61" s="12"/>
      <x:c r="K61" s="11" t="n">
        <x:v>44574.96027696759</x:v>
      </x:c>
      <x:c r="L61" s="11" t="n">
        <x:v>44589.8420527662</x:v>
      </x:c>
      <x:c r="M61" s="11" t="n">
        <x:v>44852.92286024305</x:v>
      </x:c>
      <x:c r="N61" s="13" t="str">
        <x:v>Corrective work and follow-up inspection required.</x:v>
      </x:c>
    </x:row>
    <x:row r="62">
      <x:c r="A62" s="13" t="str">
        <x:v>FICT-TASK-0058</x:v>
      </x:c>
      <x:c r="B62" s="13" t="str">
        <x:v>Service Area 2 - Failed Inspections</x:v>
      </x:c>
      <x:c r="C62" s="10"/>
      <x:c r="D62" s="9" t="str">
        <x:f>IF(C62="","Undated",YEAR(C62))</x:f>
        <x:v>Undated</x:v>
      </x:c>
      <x:c r="E62" s="9" t="str">
        <x:f>IF(C62="","Undated",TEXT(C62,"yyyy-mm"))</x:f>
        <x:v>Undated</x:v>
      </x:c>
      <x:c r="F62" s="9" t="str">
        <x:v>Failed Inspections</x:v>
      </x:c>
      <x:c r="G62" s="9" t="str">
        <x:v>Failed Inspection</x:v>
      </x:c>
      <x:c r="H62" s="9" t="str">
        <x:v>Yes</x:v>
      </x:c>
      <x:c r="I62" s="9" t="str">
        <x:v>Reviewer B</x:v>
      </x:c>
      <x:c r="J62" s="12"/>
      <x:c r="K62" s="11" t="n">
        <x:v>44819.077397141205</x:v>
      </x:c>
      <x:c r="L62" s="11" t="n">
        <x:v>44844.99453628472</x:v>
      </x:c>
      <x:c r="M62" s="11" t="n">
        <x:v>44852.9222575</x:v>
      </x:c>
      <x:c r="N62" s="13" t="str">
        <x:v>Corrective work and follow-up inspection required.</x:v>
      </x:c>
    </x:row>
    <x:row r="63">
      <x:c r="A63" s="13" t="str">
        <x:v>FICT-TASK-0059</x:v>
      </x:c>
      <x:c r="B63" s="13" t="str">
        <x:v>Service Area 3 - Failed Inspections</x:v>
      </x:c>
      <x:c r="C63" s="10" t="n">
        <x:v>44658</x:v>
      </x:c>
      <x:c r="D63" s="9" t="n">
        <x:f>IF(C63="","Undated",YEAR(C63))</x:f>
        <x:v>2022</x:v>
      </x:c>
      <x:c r="E63" s="9" t="str">
        <x:f>IF(C63="","Undated",TEXT(C63,"yyyy-mm"))</x:f>
        <x:v>2022-04</x:v>
      </x:c>
      <x:c r="F63" s="9" t="str">
        <x:v>Failed Inspections</x:v>
      </x:c>
      <x:c r="G63" s="9" t="str">
        <x:v>Failed Inspection</x:v>
      </x:c>
      <x:c r="H63" s="9" t="str">
        <x:v>Yes</x:v>
      </x:c>
      <x:c r="I63" s="9" t="str">
        <x:v>Reviewer C</x:v>
      </x:c>
      <x:c r="J63" s="12"/>
      <x:c r="K63" s="11" t="n">
        <x:v>44645.9602925</x:v>
      </x:c>
      <x:c r="L63" s="11" t="n">
        <x:v>44666.006187824074</x:v>
      </x:c>
      <x:c r="M63" s="11" t="n">
        <x:v>45952.68124640046</x:v>
      </x:c>
      <x:c r="N63" s="13" t="str">
        <x:v>Corrective work and follow-up inspection required.</x:v>
      </x:c>
    </x:row>
    <x:row r="64">
      <x:c r="A64" s="13" t="str">
        <x:v>FICT-TASK-0060</x:v>
      </x:c>
      <x:c r="B64" s="13" t="str">
        <x:v>Service Area 4 - Failed Inspections</x:v>
      </x:c>
      <x:c r="C64" s="10" t="n">
        <x:v>44593</x:v>
      </x:c>
      <x:c r="D64" s="9" t="n">
        <x:f>IF(C64="","Undated",YEAR(C64))</x:f>
        <x:v>2022</x:v>
      </x:c>
      <x:c r="E64" s="9" t="str">
        <x:f>IF(C64="","Undated",TEXT(C64,"yyyy-mm"))</x:f>
        <x:v>2022-02</x:v>
      </x:c>
      <x:c r="F64" s="9" t="str">
        <x:v>Failed Inspections</x:v>
      </x:c>
      <x:c r="G64" s="9" t="str">
        <x:v>Failed Inspection</x:v>
      </x:c>
      <x:c r="H64" s="9" t="str">
        <x:v>Yes</x:v>
      </x:c>
      <x:c r="I64" s="9" t="str">
        <x:v>Vendor Representative</x:v>
      </x:c>
      <x:c r="J64" s="12"/>
      <x:c r="K64" s="11" t="n">
        <x:v>44587.09152136574</x:v>
      </x:c>
      <x:c r="L64" s="11" t="n">
        <x:v>44608.751673113424</x:v>
      </x:c>
      <x:c r="M64" s="11" t="n">
        <x:v>44826.733616770834</x:v>
      </x:c>
      <x:c r="N64" s="13" t="str">
        <x:v>Corrective work and follow-up inspection required.</x:v>
      </x:c>
    </x:row>
    <x:row r="65">
      <x:c r="A65" s="13" t="str">
        <x:v>FICT-TASK-0061</x:v>
      </x:c>
      <x:c r="B65" s="13" t="str">
        <x:v>Service Area 5 - Failed Inspections</x:v>
      </x:c>
      <x:c r="C65" s="10" t="n">
        <x:v>44564</x:v>
      </x:c>
      <x:c r="D65" s="9" t="n">
        <x:f>IF(C65="","Undated",YEAR(C65))</x:f>
        <x:v>2022</x:v>
      </x:c>
      <x:c r="E65" s="9" t="str">
        <x:f>IF(C65="","Undated",TEXT(C65,"yyyy-mm"))</x:f>
        <x:v>2022-01</x:v>
      </x:c>
      <x:c r="F65" s="9" t="str">
        <x:v>Failed Inspections</x:v>
      </x:c>
      <x:c r="G65" s="9" t="str">
        <x:v>Failed Inspection</x:v>
      </x:c>
      <x:c r="H65" s="9" t="str">
        <x:v>Yes</x:v>
      </x:c>
      <x:c r="I65" s="9" t="str">
        <x:v>Reviewer A</x:v>
      </x:c>
      <x:c r="J65" s="12"/>
      <x:c r="K65" s="11" t="n">
        <x:v>44560.98169689815</x:v>
      </x:c>
      <x:c r="L65" s="11" t="n">
        <x:v>44589.04127395833</x:v>
      </x:c>
      <x:c r="M65" s="11" t="n">
        <x:v>44826.733718310184</x:v>
      </x:c>
      <x:c r="N65" s="13" t="str">
        <x:v>Corrective work and follow-up inspection required.</x:v>
      </x:c>
    </x:row>
    <x:row r="66">
      <x:c r="A66" s="13" t="str">
        <x:v>FICT-TASK-0062</x:v>
      </x:c>
      <x:c r="B66" s="13" t="str">
        <x:v>Service Area 6 - Failed Inspections</x:v>
      </x:c>
      <x:c r="C66" s="10" t="n">
        <x:v>44567</x:v>
      </x:c>
      <x:c r="D66" s="9" t="n">
        <x:f>IF(C66="","Undated",YEAR(C66))</x:f>
        <x:v>2022</x:v>
      </x:c>
      <x:c r="E66" s="9" t="str">
        <x:f>IF(C66="","Undated",TEXT(C66,"yyyy-mm"))</x:f>
        <x:v>2022-01</x:v>
      </x:c>
      <x:c r="F66" s="9" t="str">
        <x:v>Failed Inspections</x:v>
      </x:c>
      <x:c r="G66" s="9" t="str">
        <x:v>Failed Inspection</x:v>
      </x:c>
      <x:c r="H66" s="9" t="str">
        <x:v>Yes</x:v>
      </x:c>
      <x:c r="I66" s="9" t="str">
        <x:v>Reviewer B</x:v>
      </x:c>
      <x:c r="J66" s="12"/>
      <x:c r="K66" s="11" t="n">
        <x:v>44558.899214907404</x:v>
      </x:c>
      <x:c r="L66" s="11" t="n">
        <x:v>44588.09373508102</x:v>
      </x:c>
      <x:c r="M66" s="11" t="n">
        <x:v>45952.68124505787</x:v>
      </x:c>
      <x:c r="N66" s="13" t="str">
        <x:v>Corrective work and follow-up inspection required.</x:v>
      </x:c>
    </x:row>
    <x:row r="67">
      <x:c r="A67" s="13" t="str">
        <x:v>FICT-TASK-0063</x:v>
      </x:c>
      <x:c r="B67" s="13" t="str">
        <x:v>Service Area 7 - Failed Inspections</x:v>
      </x:c>
      <x:c r="C67" s="10" t="n">
        <x:v>44581</x:v>
      </x:c>
      <x:c r="D67" s="9" t="n">
        <x:f>IF(C67="","Undated",YEAR(C67))</x:f>
        <x:v>2022</x:v>
      </x:c>
      <x:c r="E67" s="9" t="str">
        <x:f>IF(C67="","Undated",TEXT(C67,"yyyy-mm"))</x:f>
        <x:v>2022-01</x:v>
      </x:c>
      <x:c r="F67" s="9" t="str">
        <x:v>Failed Inspections</x:v>
      </x:c>
      <x:c r="G67" s="9" t="str">
        <x:v>Failed Inspection</x:v>
      </x:c>
      <x:c r="H67" s="9" t="str">
        <x:v>Yes</x:v>
      </x:c>
      <x:c r="I67" s="9" t="str">
        <x:v>Reviewer C</x:v>
      </x:c>
      <x:c r="J67" s="12"/>
      <x:c r="K67" s="11" t="n">
        <x:v>44588.09374978009</x:v>
      </x:c>
      <x:c r="L67" s="11" t="n">
        <x:v>44588.09686769676</x:v>
      </x:c>
      <x:c r="M67" s="11" t="n">
        <x:v>45952.68124239583</x:v>
      </x:c>
      <x:c r="N67" s="13" t="str">
        <x:v>Corrective work and follow-up inspection required.</x:v>
      </x:c>
    </x:row>
    <x:row r="68">
      <x:c r="A68" s="13" t="str">
        <x:v>FICT-TASK-0064</x:v>
      </x:c>
      <x:c r="B68" s="13" t="str">
        <x:v>Service Area 1 - Failed Inspections</x:v>
      </x:c>
      <x:c r="C68" s="10" t="n">
        <x:v>44523</x:v>
      </x:c>
      <x:c r="D68" s="9" t="n">
        <x:f>IF(C68="","Undated",YEAR(C68))</x:f>
        <x:v>2021</x:v>
      </x:c>
      <x:c r="E68" s="9" t="str">
        <x:f>IF(C68="","Undated",TEXT(C68,"yyyy-mm"))</x:f>
        <x:v>2021-11</x:v>
      </x:c>
      <x:c r="F68" s="9" t="str">
        <x:v>Failed Inspections</x:v>
      </x:c>
      <x:c r="G68" s="9" t="str">
        <x:v>Failed Inspection</x:v>
      </x:c>
      <x:c r="H68" s="9" t="str">
        <x:v>Yes</x:v>
      </x:c>
      <x:c r="I68" s="9" t="str">
        <x:v>Vendor Representative</x:v>
      </x:c>
      <x:c r="J68" s="12"/>
      <x:c r="K68" s="11" t="n">
        <x:v>44509.148209212966</x:v>
      </x:c>
      <x:c r="L68" s="11" t="n">
        <x:v>44524.092258819444</x:v>
      </x:c>
      <x:c r="M68" s="11" t="n">
        <x:v>45952.681239375</x:v>
      </x:c>
      <x:c r="N68" s="13" t="str">
        <x:v>Corrective work and follow-up inspection required.</x:v>
      </x:c>
    </x:row>
    <x:row r="69">
      <x:c r="A69" s="13" t="str">
        <x:v>FICT-TASK-0065</x:v>
      </x:c>
      <x:c r="B69" s="13" t="str">
        <x:v>Service Area 2 - Failed Inspections</x:v>
      </x:c>
      <x:c r="C69" s="10"/>
      <x:c r="D69" s="9" t="str">
        <x:f>IF(C69="","Undated",YEAR(C69))</x:f>
        <x:v>Undated</x:v>
      </x:c>
      <x:c r="E69" s="9" t="str">
        <x:f>IF(C69="","Undated",TEXT(C69,"yyyy-mm"))</x:f>
        <x:v>Undated</x:v>
      </x:c>
      <x:c r="F69" s="9" t="str">
        <x:v>Failed Inspections</x:v>
      </x:c>
      <x:c r="G69" s="9" t="str">
        <x:v>Failed Inspection</x:v>
      </x:c>
      <x:c r="H69" s="9" t="str">
        <x:v>Yes</x:v>
      </x:c>
      <x:c r="I69" s="9" t="str">
        <x:v>Reviewer A</x:v>
      </x:c>
      <x:c r="J69" s="12"/>
      <x:c r="K69" s="11" t="n">
        <x:v>44537.90429085648</x:v>
      </x:c>
      <x:c r="L69" s="11" t="n">
        <x:v>44560.019585752314</x:v>
      </x:c>
      <x:c r="M69" s="11" t="n">
        <x:v>44826.725060983794</x:v>
      </x:c>
      <x:c r="N69" s="13" t="str">
        <x:v>Corrective work and follow-up inspection required.</x:v>
      </x:c>
    </x:row>
    <x:row r="70">
      <x:c r="A70" s="13" t="str">
        <x:v>FICT-TASK-0066</x:v>
      </x:c>
      <x:c r="B70" s="13" t="str">
        <x:v>Service Area 3 - Failed Inspections</x:v>
      </x:c>
      <x:c r="C70" s="10" t="n">
        <x:v>44551</x:v>
      </x:c>
      <x:c r="D70" s="9" t="n">
        <x:f>IF(C70="","Undated",YEAR(C70))</x:f>
        <x:v>2021</x:v>
      </x:c>
      <x:c r="E70" s="9" t="str">
        <x:f>IF(C70="","Undated",TEXT(C70,"yyyy-mm"))</x:f>
        <x:v>2021-12</x:v>
      </x:c>
      <x:c r="F70" s="9" t="str">
        <x:v>Failed Inspections</x:v>
      </x:c>
      <x:c r="G70" s="9" t="str">
        <x:v>Failed Inspection</x:v>
      </x:c>
      <x:c r="H70" s="9" t="str">
        <x:v>Yes</x:v>
      </x:c>
      <x:c r="I70" s="9" t="str">
        <x:v>Reviewer B</x:v>
      </x:c>
      <x:c r="J70" s="12"/>
      <x:c r="K70" s="11" t="n">
        <x:v>44571.94292167824</x:v>
      </x:c>
      <x:c r="L70" s="11" t="n">
        <x:v>44589.04107508102</x:v>
      </x:c>
      <x:c r="M70" s="11" t="n">
        <x:v>45952.68124914352</x:v>
      </x:c>
      <x:c r="N70" s="13" t="str">
        <x:v>Corrective work and follow-up inspection required.</x:v>
      </x:c>
    </x:row>
    <x:row r="71">
      <x:c r="A71" s="13" t="str">
        <x:v>FICT-TASK-0067</x:v>
      </x:c>
      <x:c r="B71" s="13" t="str">
        <x:v>Service Area 4 - Complaints Received</x:v>
      </x:c>
      <x:c r="C71" s="10" t="n">
        <x:v>45915</x:v>
      </x:c>
      <x:c r="D71" s="9" t="n">
        <x:f>IF(C71="","Undated",YEAR(C71))</x:f>
        <x:v>2025</x:v>
      </x:c>
      <x:c r="E71" s="9" t="str">
        <x:f>IF(C71="","Undated",TEXT(C71,"yyyy-mm"))</x:f>
        <x:v>2025-09</x:v>
      </x:c>
      <x:c r="F71" s="9" t="str">
        <x:v>Complaints Received</x:v>
      </x:c>
      <x:c r="G71" s="9" t="str">
        <x:v>Compliant Received</x:v>
      </x:c>
      <x:c r="H71" s="9" t="str">
        <x:v>Yes</x:v>
      </x:c>
      <x:c r="I71" s="9" t="str">
        <x:v>Reviewer C</x:v>
      </x:c>
      <x:c r="J71" s="12"/>
      <x:c r="K71" s="11" t="n">
        <x:v>45614.89976597222</x:v>
      </x:c>
      <x:c r="L71" s="11" t="n">
        <x:v>45953.98821040509</x:v>
      </x:c>
      <x:c r="M71" s="11" t="n">
        <x:v>45953.98821222222</x:v>
      </x:c>
      <x:c r="N71" s="13" t="str">
        <x:v>Required compliance documentation received.</x:v>
      </x:c>
    </x:row>
    <x:row r="72">
      <x:c r="A72" s="13" t="str">
        <x:v>FICT-TASK-0068</x:v>
      </x:c>
      <x:c r="B72" s="13" t="str">
        <x:v>Service Area 5 - Complaints Received</x:v>
      </x:c>
      <x:c r="C72" s="10" t="n">
        <x:v>45915</x:v>
      </x:c>
      <x:c r="D72" s="9" t="n">
        <x:f>IF(C72="","Undated",YEAR(C72))</x:f>
        <x:v>2025</x:v>
      </x:c>
      <x:c r="E72" s="9" t="str">
        <x:f>IF(C72="","Undated",TEXT(C72,"yyyy-mm"))</x:f>
        <x:v>2025-09</x:v>
      </x:c>
      <x:c r="F72" s="9" t="str">
        <x:v>Complaints Received</x:v>
      </x:c>
      <x:c r="G72" s="9" t="str">
        <x:v>Compliant Received</x:v>
      </x:c>
      <x:c r="H72" s="9" t="str">
        <x:v>Yes</x:v>
      </x:c>
      <x:c r="I72" s="9" t="str">
        <x:v>Vendor Representative</x:v>
      </x:c>
      <x:c r="J72" s="12"/>
      <x:c r="K72" s="11" t="n">
        <x:v>45743.814907974534</x:v>
      </x:c>
      <x:c r="L72" s="11" t="n">
        <x:v>45953.98854967592</x:v>
      </x:c>
      <x:c r="M72" s="11" t="n">
        <x:v>45953.988551319446</x:v>
      </x:c>
      <x:c r="N72" s="13" t="str">
        <x:v>Required compliance documentation received.</x:v>
      </x:c>
    </x:row>
    <x:row r="73">
      <x:c r="A73" s="13" t="str">
        <x:v>FICT-TASK-0069</x:v>
      </x:c>
      <x:c r="B73" s="13" t="str">
        <x:v>Service Area 6 - Complaints Received</x:v>
      </x:c>
      <x:c r="C73" s="10" t="n">
        <x:v>45603</x:v>
      </x:c>
      <x:c r="D73" s="9" t="n">
        <x:f>IF(C73="","Undated",YEAR(C73))</x:f>
        <x:v>2024</x:v>
      </x:c>
      <x:c r="E73" s="9" t="str">
        <x:f>IF(C73="","Undated",TEXT(C73,"yyyy-mm"))</x:f>
        <x:v>2024-11</x:v>
      </x:c>
      <x:c r="F73" s="9" t="str">
        <x:v>Complaints Received</x:v>
      </x:c>
      <x:c r="G73" s="9" t="str">
        <x:v>Compliant Received</x:v>
      </x:c>
      <x:c r="H73" s="9" t="str">
        <x:v>Yes</x:v>
      </x:c>
      <x:c r="I73" s="9" t="str">
        <x:v>Reviewer A</x:v>
      </x:c>
      <x:c r="J73" s="12"/>
      <x:c r="K73" s="11" t="n">
        <x:v>45421.778935069444</x:v>
      </x:c>
      <x:c r="L73" s="11" t="n">
        <x:v>45604.118565868055</x:v>
      </x:c>
      <x:c r="M73" s="11" t="n">
        <x:v>45953.96903826389</x:v>
      </x:c>
      <x:c r="N73" s="13" t="str">
        <x:v>Required compliance documentation received.</x:v>
      </x:c>
    </x:row>
    <x:row r="74">
      <x:c r="A74" s="13" t="str">
        <x:v>FICT-TASK-0070</x:v>
      </x:c>
      <x:c r="B74" s="13" t="str">
        <x:v>Service Area 7 - Complaints Received</x:v>
      </x:c>
      <x:c r="C74" s="10" t="n">
        <x:v>45342</x:v>
      </x:c>
      <x:c r="D74" s="9" t="n">
        <x:f>IF(C74="","Undated",YEAR(C74))</x:f>
        <x:v>2024</x:v>
      </x:c>
      <x:c r="E74" s="9" t="str">
        <x:f>IF(C74="","Undated",TEXT(C74,"yyyy-mm"))</x:f>
        <x:v>2024-02</x:v>
      </x:c>
      <x:c r="F74" s="9" t="str">
        <x:v>Complaints Received</x:v>
      </x:c>
      <x:c r="G74" s="9" t="str">
        <x:v>Compliant Received</x:v>
      </x:c>
      <x:c r="H74" s="9" t="str">
        <x:v>Yes</x:v>
      </x:c>
      <x:c r="I74" s="9" t="str">
        <x:v>Reviewer B</x:v>
      </x:c>
      <x:c r="J74" s="12"/>
      <x:c r="K74" s="11" t="n">
        <x:v>45343.80895957176</x:v>
      </x:c>
      <x:c r="L74" s="11" t="n">
        <x:v>45581.7257134375</x:v>
      </x:c>
      <x:c r="M74" s="11" t="n">
        <x:v>45953.96898734954</x:v>
      </x:c>
      <x:c r="N74" s="13" t="str">
        <x:v>Required compliance documentation received.</x:v>
      </x:c>
    </x:row>
    <x:row r="75">
      <x:c r="A75" s="13" t="str">
        <x:v>FICT-TASK-0071</x:v>
      </x:c>
      <x:c r="B75" s="13" t="str">
        <x:v>Service Area 1 - Complaints Received</x:v>
      </x:c>
      <x:c r="C75" s="10" t="n">
        <x:v>45611</x:v>
      </x:c>
      <x:c r="D75" s="9" t="n">
        <x:f>IF(C75="","Undated",YEAR(C75))</x:f>
        <x:v>2024</x:v>
      </x:c>
      <x:c r="E75" s="9" t="str">
        <x:f>IF(C75="","Undated",TEXT(C75,"yyyy-mm"))</x:f>
        <x:v>2024-11</x:v>
      </x:c>
      <x:c r="F75" s="9" t="str">
        <x:v>Complaints Received</x:v>
      </x:c>
      <x:c r="G75" s="9" t="str">
        <x:v>Compliant Received</x:v>
      </x:c>
      <x:c r="H75" s="9" t="str">
        <x:v>Yes</x:v>
      </x:c>
      <x:c r="I75" s="9" t="str">
        <x:v>Reviewer C</x:v>
      </x:c>
      <x:c r="J75" s="12"/>
      <x:c r="K75" s="11" t="n">
        <x:v>45475.72785979167</x:v>
      </x:c>
      <x:c r="L75" s="11" t="n">
        <x:v>45603.9469312963</x:v>
      </x:c>
      <x:c r="M75" s="11" t="n">
        <x:v>45953.96893472222</x:v>
      </x:c>
      <x:c r="N75" s="13" t="str">
        <x:v>Required compliance documentation received.</x:v>
      </x:c>
    </x:row>
    <x:row r="76">
      <x:c r="A76" s="13" t="str">
        <x:v>FICT-TASK-0072</x:v>
      </x:c>
      <x:c r="B76" s="13" t="str">
        <x:v>Service Area 2 - Complaints Received</x:v>
      </x:c>
      <x:c r="C76" s="10" t="n">
        <x:v>45915</x:v>
      </x:c>
      <x:c r="D76" s="9" t="n">
        <x:f>IF(C76="","Undated",YEAR(C76))</x:f>
        <x:v>2025</x:v>
      </x:c>
      <x:c r="E76" s="9" t="str">
        <x:f>IF(C76="","Undated",TEXT(C76,"yyyy-mm"))</x:f>
        <x:v>2025-09</x:v>
      </x:c>
      <x:c r="F76" s="9" t="str">
        <x:v>Complaints Received</x:v>
      </x:c>
      <x:c r="G76" s="9" t="str">
        <x:v>Compliant Received</x:v>
      </x:c>
      <x:c r="H76" s="9" t="str">
        <x:v>Yes</x:v>
      </x:c>
      <x:c r="I76" s="9" t="str">
        <x:v>Vendor Representative</x:v>
      </x:c>
      <x:c r="J76" s="12"/>
      <x:c r="K76" s="11" t="n">
        <x:v>45603.94617002315</x:v>
      </x:c>
      <x:c r="L76" s="11" t="n">
        <x:v>45953.98019548611</x:v>
      </x:c>
      <x:c r="M76" s="11" t="n">
        <x:v>45953.98019743055</x:v>
      </x:c>
      <x:c r="N76" s="13" t="str">
        <x:v>Required compliance documentation received.</x:v>
      </x:c>
    </x:row>
    <x:row r="77">
      <x:c r="A77" s="13" t="str">
        <x:v>FICT-TASK-0073</x:v>
      </x:c>
      <x:c r="B77" s="13" t="str">
        <x:v>Service Area 3 - Complaints Received</x:v>
      </x:c>
      <x:c r="C77" s="10" t="n">
        <x:v>45915</x:v>
      </x:c>
      <x:c r="D77" s="9" t="n">
        <x:f>IF(C77="","Undated",YEAR(C77))</x:f>
        <x:v>2025</x:v>
      </x:c>
      <x:c r="E77" s="9" t="str">
        <x:f>IF(C77="","Undated",TEXT(C77,"yyyy-mm"))</x:f>
        <x:v>2025-09</x:v>
      </x:c>
      <x:c r="F77" s="9" t="str">
        <x:v>Complaints Received</x:v>
      </x:c>
      <x:c r="G77" s="9" t="str">
        <x:v>Compliant Received</x:v>
      </x:c>
      <x:c r="H77" s="9" t="str">
        <x:v>Yes</x:v>
      </x:c>
      <x:c r="I77" s="9" t="str">
        <x:v>Reviewer A</x:v>
      </x:c>
      <x:c r="J77" s="12"/>
      <x:c r="K77" s="11" t="n">
        <x:v>45867.058981724535</x:v>
      </x:c>
      <x:c r="L77" s="11" t="n">
        <x:v>45953.98202130787</x:v>
      </x:c>
      <x:c r="M77" s="11" t="n">
        <x:v>45953.982022743054</x:v>
      </x:c>
      <x:c r="N77" s="13" t="str">
        <x:v>Required compliance documentation received.</x:v>
      </x:c>
    </x:row>
    <x:row r="78">
      <x:c r="A78" s="13" t="str">
        <x:v>FICT-TASK-0074</x:v>
      </x:c>
      <x:c r="B78" s="13" t="str">
        <x:v>Service Area 4 - Complaints Received</x:v>
      </x:c>
      <x:c r="C78" s="10" t="n">
        <x:v>45915</x:v>
      </x:c>
      <x:c r="D78" s="9" t="n">
        <x:f>IF(C78="","Undated",YEAR(C78))</x:f>
        <x:v>2025</x:v>
      </x:c>
      <x:c r="E78" s="9" t="str">
        <x:f>IF(C78="","Undated",TEXT(C78,"yyyy-mm"))</x:f>
        <x:v>2025-09</x:v>
      </x:c>
      <x:c r="F78" s="9" t="str">
        <x:v>Complaints Received</x:v>
      </x:c>
      <x:c r="G78" s="9" t="str">
        <x:v>Compliant Received</x:v>
      </x:c>
      <x:c r="H78" s="9" t="str">
        <x:v>Yes</x:v>
      </x:c>
      <x:c r="I78" s="9" t="str">
        <x:v>Reviewer B</x:v>
      </x:c>
      <x:c r="J78" s="12"/>
      <x:c r="K78" s="11" t="n">
        <x:v>45621.92731313658</x:v>
      </x:c>
      <x:c r="L78" s="11" t="n">
        <x:v>45953.99768313657</x:v>
      </x:c>
      <x:c r="M78" s="11" t="n">
        <x:v>45953.99768458333</x:v>
      </x:c>
      <x:c r="N78" s="13" t="str">
        <x:v>Required compliance documentation received.</x:v>
      </x:c>
    </x:row>
    <x:row r="79">
      <x:c r="A79" s="13" t="str">
        <x:v>FICT-TASK-0075</x:v>
      </x:c>
      <x:c r="B79" s="13" t="str">
        <x:v>Service Area 5 - Complaints Received</x:v>
      </x:c>
      <x:c r="C79" s="10" t="n">
        <x:v>44848</x:v>
      </x:c>
      <x:c r="D79" s="9" t="n">
        <x:f>IF(C79="","Undated",YEAR(C79))</x:f>
        <x:v>2022</x:v>
      </x:c>
      <x:c r="E79" s="9" t="str">
        <x:f>IF(C79="","Undated",TEXT(C79,"yyyy-mm"))</x:f>
        <x:v>2022-10</x:v>
      </x:c>
      <x:c r="F79" s="9" t="str">
        <x:v>Complaints Received</x:v>
      </x:c>
      <x:c r="G79" s="9" t="str">
        <x:v>Compliant Received</x:v>
      </x:c>
      <x:c r="H79" s="9" t="str">
        <x:v>Yes</x:v>
      </x:c>
      <x:c r="I79" s="9" t="str">
        <x:v>Reviewer C</x:v>
      </x:c>
      <x:c r="J79" s="12"/>
      <x:c r="K79" s="11" t="n">
        <x:v>44837.83244435185</x:v>
      </x:c>
      <x:c r="L79" s="11" t="n">
        <x:v>44861.022943668984</x:v>
      </x:c>
      <x:c r="M79" s="11" t="n">
        <x:v>44861.0229597338</x:v>
      </x:c>
      <x:c r="N79" s="13" t="str">
        <x:v>Required compliance documentation received.</x:v>
      </x:c>
    </x:row>
    <x:row r="80">
      <x:c r="A80" s="13" t="str">
        <x:v>FICT-TASK-0076</x:v>
      </x:c>
      <x:c r="B80" s="13" t="str">
        <x:v>Service Area 6 - Complaints Received</x:v>
      </x:c>
      <x:c r="C80" s="10" t="n">
        <x:v>44862</x:v>
      </x:c>
      <x:c r="D80" s="9" t="n">
        <x:f>IF(C80="","Undated",YEAR(C80))</x:f>
        <x:v>2022</x:v>
      </x:c>
      <x:c r="E80" s="9" t="str">
        <x:f>IF(C80="","Undated",TEXT(C80,"yyyy-mm"))</x:f>
        <x:v>2022-10</x:v>
      </x:c>
      <x:c r="F80" s="9" t="str">
        <x:v>Complaints Received</x:v>
      </x:c>
      <x:c r="G80" s="9" t="str">
        <x:v>No status</x:v>
      </x:c>
      <x:c r="H80" s="9" t="str">
        <x:v>Yes</x:v>
      </x:c>
      <x:c r="I80" s="9" t="str">
        <x:v>Vendor Representative</x:v>
      </x:c>
      <x:c r="J80" s="12"/>
      <x:c r="K80" s="11" t="n">
        <x:v>44861.02297230324</x:v>
      </x:c>
      <x:c r="L80" s="11" t="n">
        <x:v>44872.89275247685</x:v>
      </x:c>
      <x:c r="M80" s="11" t="n">
        <x:v>44872.8927625463</x:v>
      </x:c>
      <x:c r="N80" s="13" t="str">
        <x:v>Status was not populated in the source task.</x:v>
      </x:c>
    </x:row>
    <x:row r="81">
      <x:c r="A81" s="13" t="str">
        <x:v>FICT-TASK-0077</x:v>
      </x:c>
      <x:c r="B81" s="13" t="str">
        <x:v>Service Area 7 - Complaints Received</x:v>
      </x:c>
      <x:c r="C81" s="10" t="n">
        <x:v>44876</x:v>
      </x:c>
      <x:c r="D81" s="9" t="n">
        <x:f>IF(C81="","Undated",YEAR(C81))</x:f>
        <x:v>2022</x:v>
      </x:c>
      <x:c r="E81" s="9" t="str">
        <x:f>IF(C81="","Undated",TEXT(C81,"yyyy-mm"))</x:f>
        <x:v>2022-11</x:v>
      </x:c>
      <x:c r="F81" s="9" t="str">
        <x:v>Complaints Received</x:v>
      </x:c>
      <x:c r="G81" s="9" t="str">
        <x:v>No status</x:v>
      </x:c>
      <x:c r="H81" s="9" t="str">
        <x:v>Yes</x:v>
      </x:c>
      <x:c r="I81" s="9" t="str">
        <x:v>Reviewer A</x:v>
      </x:c>
      <x:c r="J81" s="12"/>
      <x:c r="K81" s="11" t="n">
        <x:v>44872.89277792824</x:v>
      </x:c>
      <x:c r="L81" s="11" t="n">
        <x:v>44887.06642509259</x:v>
      </x:c>
      <x:c r="M81" s="11" t="n">
        <x:v>44887.0664303125</x:v>
      </x:c>
      <x:c r="N81" s="13" t="str">
        <x:v>Status was not populated in the source task.</x:v>
      </x:c>
    </x:row>
    <x:row r="82">
      <x:c r="A82" s="13" t="str">
        <x:v>FICT-TASK-0078</x:v>
      </x:c>
      <x:c r="B82" s="13" t="str">
        <x:v>Service Area 1 - Complaints Received</x:v>
      </x:c>
      <x:c r="C82" s="10" t="n">
        <x:v>44890</x:v>
      </x:c>
      <x:c r="D82" s="9" t="n">
        <x:f>IF(C82="","Undated",YEAR(C82))</x:f>
        <x:v>2022</x:v>
      </x:c>
      <x:c r="E82" s="9" t="str">
        <x:f>IF(C82="","Undated",TEXT(C82,"yyyy-mm"))</x:f>
        <x:v>2022-11</x:v>
      </x:c>
      <x:c r="F82" s="9" t="str">
        <x:v>Complaints Received</x:v>
      </x:c>
      <x:c r="G82" s="9" t="str">
        <x:v>No status</x:v>
      </x:c>
      <x:c r="H82" s="9" t="str">
        <x:v>Yes</x:v>
      </x:c>
      <x:c r="I82" s="9" t="str">
        <x:v>Reviewer B</x:v>
      </x:c>
      <x:c r="J82" s="12"/>
      <x:c r="K82" s="11" t="n">
        <x:v>44887.066437546295</x:v>
      </x:c>
      <x:c r="L82" s="11" t="n">
        <x:v>44901.06351063657</x:v>
      </x:c>
      <x:c r="M82" s="11" t="n">
        <x:v>44901.26444061343</x:v>
      </x:c>
      <x:c r="N82" s="13" t="str">
        <x:v>Status was not populated in the source task.</x:v>
      </x:c>
    </x:row>
    <x:row r="83">
      <x:c r="A83" s="13" t="str">
        <x:v>FICT-TASK-0079</x:v>
      </x:c>
      <x:c r="B83" s="13" t="str">
        <x:v>Service Area 2 - Complaints Received</x:v>
      </x:c>
      <x:c r="C83" s="10" t="n">
        <x:v>44904</x:v>
      </x:c>
      <x:c r="D83" s="9" t="n">
        <x:f>IF(C83="","Undated",YEAR(C83))</x:f>
        <x:v>2022</x:v>
      </x:c>
      <x:c r="E83" s="9" t="str">
        <x:f>IF(C83="","Undated",TEXT(C83,"yyyy-mm"))</x:f>
        <x:v>2022-12</x:v>
      </x:c>
      <x:c r="F83" s="9" t="str">
        <x:v>Complaints Received</x:v>
      </x:c>
      <x:c r="G83" s="9" t="str">
        <x:v>No status</x:v>
      </x:c>
      <x:c r="H83" s="9" t="str">
        <x:v>Yes</x:v>
      </x:c>
      <x:c r="I83" s="9" t="str">
        <x:v>Reviewer C</x:v>
      </x:c>
      <x:c r="J83" s="12"/>
      <x:c r="K83" s="11" t="n">
        <x:v>44901.06353496528</x:v>
      </x:c>
      <x:c r="L83" s="11" t="n">
        <x:v>44930.02443212963</x:v>
      </x:c>
      <x:c r="M83" s="11" t="n">
        <x:v>44930.0244425</x:v>
      </x:c>
      <x:c r="N83" s="13" t="str">
        <x:v>Status was not populated in the source task.</x:v>
      </x:c>
    </x:row>
    <x:row r="84">
      <x:c r="A84" s="13" t="str">
        <x:v>FICT-TASK-0080</x:v>
      </x:c>
      <x:c r="B84" s="13" t="str">
        <x:v>Service Area 3 - Complaints Received</x:v>
      </x:c>
      <x:c r="C84" s="10" t="n">
        <x:v>44918</x:v>
      </x:c>
      <x:c r="D84" s="9" t="n">
        <x:f>IF(C84="","Undated",YEAR(C84))</x:f>
        <x:v>2022</x:v>
      </x:c>
      <x:c r="E84" s="9" t="str">
        <x:f>IF(C84="","Undated",TEXT(C84,"yyyy-mm"))</x:f>
        <x:v>2022-12</x:v>
      </x:c>
      <x:c r="F84" s="9" t="str">
        <x:v>Complaints Received</x:v>
      </x:c>
      <x:c r="G84" s="9" t="str">
        <x:v>No status</x:v>
      </x:c>
      <x:c r="H84" s="9" t="str">
        <x:v>Yes</x:v>
      </x:c>
      <x:c r="I84" s="9" t="str">
        <x:v>Vendor Representative</x:v>
      </x:c>
      <x:c r="J84" s="12"/>
      <x:c r="K84" s="11" t="n">
        <x:v>44930.02445268518</x:v>
      </x:c>
      <x:c r="L84" s="11" t="n">
        <x:v>44952.03972787037</x:v>
      </x:c>
      <x:c r="M84" s="11" t="n">
        <x:v>44952.0397325463</x:v>
      </x:c>
      <x:c r="N84" s="13" t="str">
        <x:v>Status was not populated in the source task.</x:v>
      </x:c>
    </x:row>
    <x:row r="85">
      <x:c r="A85" s="13" t="str">
        <x:v>FICT-TASK-0081</x:v>
      </x:c>
      <x:c r="B85" s="13" t="str">
        <x:v>Service Area 4 - Complaints Received</x:v>
      </x:c>
      <x:c r="C85" s="10" t="n">
        <x:v>44932</x:v>
      </x:c>
      <x:c r="D85" s="9" t="n">
        <x:f>IF(C85="","Undated",YEAR(C85))</x:f>
        <x:v>2023</x:v>
      </x:c>
      <x:c r="E85" s="9" t="str">
        <x:f>IF(C85="","Undated",TEXT(C85,"yyyy-mm"))</x:f>
        <x:v>2023-01</x:v>
      </x:c>
      <x:c r="F85" s="9" t="str">
        <x:v>Complaints Received</x:v>
      </x:c>
      <x:c r="G85" s="9" t="str">
        <x:v>No status</x:v>
      </x:c>
      <x:c r="H85" s="9" t="str">
        <x:v>Yes</x:v>
      </x:c>
      <x:c r="I85" s="9" t="str">
        <x:v>Reviewer A</x:v>
      </x:c>
      <x:c r="J85" s="12"/>
      <x:c r="K85" s="11" t="n">
        <x:v>44952.039738611114</x:v>
      </x:c>
      <x:c r="L85" s="11" t="n">
        <x:v>44952.76766224537</x:v>
      </x:c>
      <x:c r="M85" s="11" t="n">
        <x:v>44952.767666886575</x:v>
      </x:c>
      <x:c r="N85" s="13" t="str">
        <x:v>Status was not populated in the source task.</x:v>
      </x:c>
    </x:row>
    <x:row r="86">
      <x:c r="A86" s="13" t="str">
        <x:v>FICT-TASK-0082</x:v>
      </x:c>
      <x:c r="B86" s="13" t="str">
        <x:v>Service Area 5 - Complaints Received</x:v>
      </x:c>
      <x:c r="C86" s="10" t="n">
        <x:v>44946</x:v>
      </x:c>
      <x:c r="D86" s="9" t="n">
        <x:f>IF(C86="","Undated",YEAR(C86))</x:f>
        <x:v>2023</x:v>
      </x:c>
      <x:c r="E86" s="9" t="str">
        <x:f>IF(C86="","Undated",TEXT(C86,"yyyy-mm"))</x:f>
        <x:v>2023-01</x:v>
      </x:c>
      <x:c r="F86" s="9" t="str">
        <x:v>Complaints Received</x:v>
      </x:c>
      <x:c r="G86" s="9" t="str">
        <x:v>No status</x:v>
      </x:c>
      <x:c r="H86" s="9" t="str">
        <x:v>Yes</x:v>
      </x:c>
      <x:c r="I86" s="9" t="str">
        <x:v>Reviewer B</x:v>
      </x:c>
      <x:c r="J86" s="12"/>
      <x:c r="K86" s="11" t="n">
        <x:v>44952.76767217593</x:v>
      </x:c>
      <x:c r="L86" s="11" t="n">
        <x:v>44970.82555159722</x:v>
      </x:c>
      <x:c r="M86" s="11" t="n">
        <x:v>44970.82555905093</x:v>
      </x:c>
      <x:c r="N86" s="13" t="str">
        <x:v>Status was not populated in the source task.</x:v>
      </x:c>
    </x:row>
    <x:row r="87">
      <x:c r="A87" s="13" t="str">
        <x:v>FICT-TASK-0083</x:v>
      </x:c>
      <x:c r="B87" s="13" t="str">
        <x:v>Service Area 6 - Complaints Received</x:v>
      </x:c>
      <x:c r="C87" s="10" t="n">
        <x:v>44960</x:v>
      </x:c>
      <x:c r="D87" s="9" t="n">
        <x:f>IF(C87="","Undated",YEAR(C87))</x:f>
        <x:v>2023</x:v>
      </x:c>
      <x:c r="E87" s="9" t="str">
        <x:f>IF(C87="","Undated",TEXT(C87,"yyyy-mm"))</x:f>
        <x:v>2023-02</x:v>
      </x:c>
      <x:c r="F87" s="9" t="str">
        <x:v>Complaints Received</x:v>
      </x:c>
      <x:c r="G87" s="9" t="str">
        <x:v>No status</x:v>
      </x:c>
      <x:c r="H87" s="9" t="str">
        <x:v>Yes</x:v>
      </x:c>
      <x:c r="I87" s="9" t="str">
        <x:v>Reviewer C</x:v>
      </x:c>
      <x:c r="J87" s="12"/>
      <x:c r="K87" s="11" t="n">
        <x:v>44970.82557016204</x:v>
      </x:c>
      <x:c r="L87" s="11" t="n">
        <x:v>44979.079494791666</x:v>
      </x:c>
      <x:c r="M87" s="11" t="n">
        <x:v>44979.079501168984</x:v>
      </x:c>
      <x:c r="N87" s="13" t="str">
        <x:v>Status was not populated in the source task.</x:v>
      </x:c>
    </x:row>
    <x:row r="88">
      <x:c r="A88" s="13" t="str">
        <x:v>FICT-TASK-0084</x:v>
      </x:c>
      <x:c r="B88" s="13" t="str">
        <x:v>Service Area 7 - Complaints Received</x:v>
      </x:c>
      <x:c r="C88" s="10" t="n">
        <x:v>44974</x:v>
      </x:c>
      <x:c r="D88" s="9" t="n">
        <x:f>IF(C88="","Undated",YEAR(C88))</x:f>
        <x:v>2023</x:v>
      </x:c>
      <x:c r="E88" s="9" t="str">
        <x:f>IF(C88="","Undated",TEXT(C88,"yyyy-mm"))</x:f>
        <x:v>2023-02</x:v>
      </x:c>
      <x:c r="F88" s="9" t="str">
        <x:v>Complaints Received</x:v>
      </x:c>
      <x:c r="G88" s="9" t="str">
        <x:v>No status</x:v>
      </x:c>
      <x:c r="H88" s="9" t="str">
        <x:v>Yes</x:v>
      </x:c>
      <x:c r="I88" s="9" t="str">
        <x:v>Vendor Representative</x:v>
      </x:c>
      <x:c r="J88" s="12"/>
      <x:c r="K88" s="11" t="n">
        <x:v>44979.07951333333</x:v>
      </x:c>
      <x:c r="L88" s="11" t="n">
        <x:v>44993.129685381944</x:v>
      </x:c>
      <x:c r="M88" s="11" t="n">
        <x:v>44993.129689421294</x:v>
      </x:c>
      <x:c r="N88" s="13" t="str">
        <x:v>Status was not populated in the source task.</x:v>
      </x:c>
    </x:row>
    <x:row r="89">
      <x:c r="A89" s="13" t="str">
        <x:v>FICT-TASK-0085</x:v>
      </x:c>
      <x:c r="B89" s="13" t="str">
        <x:v>Service Area 1 - Complaints Received</x:v>
      </x:c>
      <x:c r="C89" s="10" t="n">
        <x:v>44988</x:v>
      </x:c>
      <x:c r="D89" s="9" t="n">
        <x:f>IF(C89="","Undated",YEAR(C89))</x:f>
        <x:v>2023</x:v>
      </x:c>
      <x:c r="E89" s="9" t="str">
        <x:f>IF(C89="","Undated",TEXT(C89,"yyyy-mm"))</x:f>
        <x:v>2023-03</x:v>
      </x:c>
      <x:c r="F89" s="9" t="str">
        <x:v>Complaints Received</x:v>
      </x:c>
      <x:c r="G89" s="9" t="str">
        <x:v>No status</x:v>
      </x:c>
      <x:c r="H89" s="9" t="str">
        <x:v>Yes</x:v>
      </x:c>
      <x:c r="I89" s="9" t="str">
        <x:v>Reviewer A</x:v>
      </x:c>
      <x:c r="J89" s="12"/>
      <x:c r="K89" s="11" t="n">
        <x:v>44993.12969980324</x:v>
      </x:c>
      <x:c r="L89" s="11" t="n">
        <x:v>45007.681958229165</x:v>
      </x:c>
      <x:c r="M89" s="11" t="n">
        <x:v>45007.68196170139</x:v>
      </x:c>
      <x:c r="N89" s="13" t="str">
        <x:v>Status was not populated in the source task.</x:v>
      </x:c>
    </x:row>
    <x:row r="90">
      <x:c r="A90" s="13" t="str">
        <x:v>FICT-TASK-0086</x:v>
      </x:c>
      <x:c r="B90" s="13" t="str">
        <x:v>Service Area 2 - Complaints Received</x:v>
      </x:c>
      <x:c r="C90" s="10" t="n">
        <x:v>45002</x:v>
      </x:c>
      <x:c r="D90" s="9" t="n">
        <x:f>IF(C90="","Undated",YEAR(C90))</x:f>
        <x:v>2023</x:v>
      </x:c>
      <x:c r="E90" s="9" t="str">
        <x:f>IF(C90="","Undated",TEXT(C90,"yyyy-mm"))</x:f>
        <x:v>2023-03</x:v>
      </x:c>
      <x:c r="F90" s="9" t="str">
        <x:v>Complaints Received</x:v>
      </x:c>
      <x:c r="G90" s="9" t="str">
        <x:v>No status</x:v>
      </x:c>
      <x:c r="H90" s="9" t="str">
        <x:v>Yes</x:v>
      </x:c>
      <x:c r="I90" s="9" t="str">
        <x:v>Reviewer B</x:v>
      </x:c>
      <x:c r="J90" s="12"/>
      <x:c r="K90" s="11" t="n">
        <x:v>45007.681971342594</x:v>
      </x:c>
      <x:c r="L90" s="11" t="n">
        <x:v>45026.807310729164</x:v>
      </x:c>
      <x:c r="M90" s="11" t="n">
        <x:v>45026.807315266204</x:v>
      </x:c>
      <x:c r="N90" s="13" t="str">
        <x:v>Status was not populated in the source task.</x:v>
      </x:c>
    </x:row>
    <x:row r="91">
      <x:c r="A91" s="13" t="str">
        <x:v>FICT-TASK-0087</x:v>
      </x:c>
      <x:c r="B91" s="13" t="str">
        <x:v>Service Area 3 - Complaints Received</x:v>
      </x:c>
      <x:c r="C91" s="10" t="n">
        <x:v>45016</x:v>
      </x:c>
      <x:c r="D91" s="9" t="n">
        <x:f>IF(C91="","Undated",YEAR(C91))</x:f>
        <x:v>2023</x:v>
      </x:c>
      <x:c r="E91" s="9" t="str">
        <x:f>IF(C91="","Undated",TEXT(C91,"yyyy-mm"))</x:f>
        <x:v>2023-03</x:v>
      </x:c>
      <x:c r="F91" s="9" t="str">
        <x:v>Complaints Received</x:v>
      </x:c>
      <x:c r="G91" s="9" t="str">
        <x:v>No status</x:v>
      </x:c>
      <x:c r="H91" s="9" t="str">
        <x:v>Yes</x:v>
      </x:c>
      <x:c r="I91" s="9" t="str">
        <x:v>Reviewer C</x:v>
      </x:c>
      <x:c r="J91" s="12"/>
      <x:c r="K91" s="11" t="n">
        <x:v>45026.80732240741</x:v>
      </x:c>
      <x:c r="L91" s="11" t="n">
        <x:v>45026.80752596065</x:v>
      </x:c>
      <x:c r="M91" s="11" t="n">
        <x:v>45026.807531631945</x:v>
      </x:c>
      <x:c r="N91" s="13" t="str">
        <x:v>Status was not populated in the source task.</x:v>
      </x:c>
    </x:row>
    <x:row r="92">
      <x:c r="A92" s="13" t="str">
        <x:v>FICT-TASK-0088</x:v>
      </x:c>
      <x:c r="B92" s="13" t="str">
        <x:v>Service Area 4 - Complaints Received</x:v>
      </x:c>
      <x:c r="C92" s="10" t="n">
        <x:v>45030</x:v>
      </x:c>
      <x:c r="D92" s="9" t="n">
        <x:f>IF(C92="","Undated",YEAR(C92))</x:f>
        <x:v>2023</x:v>
      </x:c>
      <x:c r="E92" s="9" t="str">
        <x:f>IF(C92="","Undated",TEXT(C92,"yyyy-mm"))</x:f>
        <x:v>2023-04</x:v>
      </x:c>
      <x:c r="F92" s="9" t="str">
        <x:v>Complaints Received</x:v>
      </x:c>
      <x:c r="G92" s="9" t="str">
        <x:v>No status</x:v>
      </x:c>
      <x:c r="H92" s="9" t="str">
        <x:v>Yes</x:v>
      </x:c>
      <x:c r="I92" s="9" t="str">
        <x:v>Vendor Representative</x:v>
      </x:c>
      <x:c r="J92" s="12"/>
      <x:c r="K92" s="11" t="n">
        <x:v>45026.80753975694</x:v>
      </x:c>
      <x:c r="L92" s="11" t="n">
        <x:v>45040.96855863426</x:v>
      </x:c>
      <x:c r="M92" s="11" t="n">
        <x:v>45040.968562800925</x:v>
      </x:c>
      <x:c r="N92" s="13" t="str">
        <x:v>Status was not populated in the source task.</x:v>
      </x:c>
    </x:row>
    <x:row r="93">
      <x:c r="A93" s="13" t="str">
        <x:v>FICT-TASK-0089</x:v>
      </x:c>
      <x:c r="B93" s="13" t="str">
        <x:v>Service Area 5 - Complaints Received</x:v>
      </x:c>
      <x:c r="C93" s="10" t="n">
        <x:v>45044</x:v>
      </x:c>
      <x:c r="D93" s="9" t="n">
        <x:f>IF(C93="","Undated",YEAR(C93))</x:f>
        <x:v>2023</x:v>
      </x:c>
      <x:c r="E93" s="9" t="str">
        <x:f>IF(C93="","Undated",TEXT(C93,"yyyy-mm"))</x:f>
        <x:v>2023-04</x:v>
      </x:c>
      <x:c r="F93" s="9" t="str">
        <x:v>Complaints Received</x:v>
      </x:c>
      <x:c r="G93" s="9" t="str">
        <x:v>No status</x:v>
      </x:c>
      <x:c r="H93" s="9" t="str">
        <x:v>Yes</x:v>
      </x:c>
      <x:c r="I93" s="9" t="str">
        <x:v>Reviewer A</x:v>
      </x:c>
      <x:c r="J93" s="12"/>
      <x:c r="K93" s="11" t="n">
        <x:v>45040.96856902778</x:v>
      </x:c>
      <x:c r="L93" s="11" t="n">
        <x:v>45055.03026255787</x:v>
      </x:c>
      <x:c r="M93" s="11" t="n">
        <x:v>45055.03026540509</x:v>
      </x:c>
      <x:c r="N93" s="13" t="str">
        <x:v>Status was not populated in the source task.</x:v>
      </x:c>
    </x:row>
    <x:row r="94">
      <x:c r="A94" s="13" t="str">
        <x:v>FICT-TASK-0090</x:v>
      </x:c>
      <x:c r="B94" s="13" t="str">
        <x:v>Service Area 6 - Complaints Received</x:v>
      </x:c>
      <x:c r="C94" s="10" t="n">
        <x:v>45058</x:v>
      </x:c>
      <x:c r="D94" s="9" t="n">
        <x:f>IF(C94="","Undated",YEAR(C94))</x:f>
        <x:v>2023</x:v>
      </x:c>
      <x:c r="E94" s="9" t="str">
        <x:f>IF(C94="","Undated",TEXT(C94,"yyyy-mm"))</x:f>
        <x:v>2023-05</x:v>
      </x:c>
      <x:c r="F94" s="9" t="str">
        <x:v>Complaints Received</x:v>
      </x:c>
      <x:c r="G94" s="9" t="str">
        <x:v>No status</x:v>
      </x:c>
      <x:c r="H94" s="9" t="str">
        <x:v>Yes</x:v>
      </x:c>
      <x:c r="I94" s="9" t="str">
        <x:v>Reviewer B</x:v>
      </x:c>
      <x:c r="J94" s="12"/>
      <x:c r="K94" s="11" t="n">
        <x:v>45055.03027069444</x:v>
      </x:c>
      <x:c r="L94" s="11" t="n">
        <x:v>45086.75776175926</x:v>
      </x:c>
      <x:c r="M94" s="11" t="n">
        <x:v>45086.75776475694</x:v>
      </x:c>
      <x:c r="N94" s="13" t="str">
        <x:v>Status was not populated in the source task.</x:v>
      </x:c>
    </x:row>
    <x:row r="95">
      <x:c r="A95" s="13" t="str">
        <x:v>FICT-TASK-0091</x:v>
      </x:c>
      <x:c r="B95" s="13" t="str">
        <x:v>Service Area 7 - Complaints Received</x:v>
      </x:c>
      <x:c r="C95" s="10" t="n">
        <x:v>45072</x:v>
      </x:c>
      <x:c r="D95" s="9" t="n">
        <x:f>IF(C95="","Undated",YEAR(C95))</x:f>
        <x:v>2023</x:v>
      </x:c>
      <x:c r="E95" s="9" t="str">
        <x:f>IF(C95="","Undated",TEXT(C95,"yyyy-mm"))</x:f>
        <x:v>2023-05</x:v>
      </x:c>
      <x:c r="F95" s="9" t="str">
        <x:v>Complaints Received</x:v>
      </x:c>
      <x:c r="G95" s="9" t="str">
        <x:v>No status</x:v>
      </x:c>
      <x:c r="H95" s="9" t="str">
        <x:v>Yes</x:v>
      </x:c>
      <x:c r="I95" s="9" t="str">
        <x:v>Reviewer C</x:v>
      </x:c>
      <x:c r="J95" s="12"/>
      <x:c r="K95" s="11" t="n">
        <x:v>45086.75777052083</x:v>
      </x:c>
      <x:c r="L95" s="11" t="n">
        <x:v>45086.758393125</x:v>
      </x:c>
      <x:c r="M95" s="11" t="n">
        <x:v>45086.758397337966</x:v>
      </x:c>
      <x:c r="N95" s="13" t="str">
        <x:v>Status was not populated in the source task.</x:v>
      </x:c>
    </x:row>
    <x:row r="96">
      <x:c r="A96" s="13" t="str">
        <x:v>FICT-TASK-0092</x:v>
      </x:c>
      <x:c r="B96" s="13" t="str">
        <x:v>Service Area 1 - Complaints Received</x:v>
      </x:c>
      <x:c r="C96" s="10" t="n">
        <x:v>45086</x:v>
      </x:c>
      <x:c r="D96" s="9" t="n">
        <x:f>IF(C96="","Undated",YEAR(C96))</x:f>
        <x:v>2023</x:v>
      </x:c>
      <x:c r="E96" s="9" t="str">
        <x:f>IF(C96="","Undated",TEXT(C96,"yyyy-mm"))</x:f>
        <x:v>2023-06</x:v>
      </x:c>
      <x:c r="F96" s="9" t="str">
        <x:v>Complaints Received</x:v>
      </x:c>
      <x:c r="G96" s="9" t="str">
        <x:v>No status</x:v>
      </x:c>
      <x:c r="H96" s="9" t="str">
        <x:v>Yes</x:v>
      </x:c>
      <x:c r="I96" s="9" t="str">
        <x:v>Vendor Representative</x:v>
      </x:c>
      <x:c r="J96" s="12"/>
      <x:c r="K96" s="11" t="n">
        <x:v>45086.75840179398</x:v>
      </x:c>
      <x:c r="L96" s="11" t="n">
        <x:v>45099.752006828705</x:v>
      </x:c>
      <x:c r="M96" s="11" t="n">
        <x:v>45099.7520112037</x:v>
      </x:c>
      <x:c r="N96" s="13" t="str">
        <x:v>Status was not populated in the source task.</x:v>
      </x:c>
    </x:row>
    <x:row r="97">
      <x:c r="A97" s="13" t="str">
        <x:v>FICT-TASK-0093</x:v>
      </x:c>
      <x:c r="B97" s="13" t="str">
        <x:v>Service Area 2 - Complaints Received</x:v>
      </x:c>
      <x:c r="C97" s="10" t="n">
        <x:v>45100</x:v>
      </x:c>
      <x:c r="D97" s="9" t="n">
        <x:f>IF(C97="","Undated",YEAR(C97))</x:f>
        <x:v>2023</x:v>
      </x:c>
      <x:c r="E97" s="9" t="str">
        <x:f>IF(C97="","Undated",TEXT(C97,"yyyy-mm"))</x:f>
        <x:v>2023-06</x:v>
      </x:c>
      <x:c r="F97" s="9" t="str">
        <x:v>Complaints Received</x:v>
      </x:c>
      <x:c r="G97" s="9" t="str">
        <x:v>No status</x:v>
      </x:c>
      <x:c r="H97" s="9" t="str">
        <x:v>Yes</x:v>
      </x:c>
      <x:c r="I97" s="9" t="str">
        <x:v>Reviewer A</x:v>
      </x:c>
      <x:c r="J97" s="12"/>
      <x:c r="K97" s="11" t="n">
        <x:v>45099.75201709491</x:v>
      </x:c>
      <x:c r="L97" s="11" t="n">
        <x:v>45127.9412412963</x:v>
      </x:c>
      <x:c r="M97" s="11" t="n">
        <x:v>45127.94124600694</x:v>
      </x:c>
      <x:c r="N97" s="13" t="str">
        <x:v>Status was not populated in the source task.</x:v>
      </x:c>
    </x:row>
    <x:row r="98">
      <x:c r="A98" s="13" t="str">
        <x:v>FICT-TASK-0094</x:v>
      </x:c>
      <x:c r="B98" s="13" t="str">
        <x:v>Service Area 3 - Complaints Received</x:v>
      </x:c>
      <x:c r="C98" s="10" t="n">
        <x:v>45114</x:v>
      </x:c>
      <x:c r="D98" s="9" t="n">
        <x:f>IF(C98="","Undated",YEAR(C98))</x:f>
        <x:v>2023</x:v>
      </x:c>
      <x:c r="E98" s="9" t="str">
        <x:f>IF(C98="","Undated",TEXT(C98,"yyyy-mm"))</x:f>
        <x:v>2023-07</x:v>
      </x:c>
      <x:c r="F98" s="9" t="str">
        <x:v>Complaints Received</x:v>
      </x:c>
      <x:c r="G98" s="9" t="str">
        <x:v>No status</x:v>
      </x:c>
      <x:c r="H98" s="9" t="str">
        <x:v>Yes</x:v>
      </x:c>
      <x:c r="I98" s="9" t="str">
        <x:v>Reviewer B</x:v>
      </x:c>
      <x:c r="J98" s="12"/>
      <x:c r="K98" s="11" t="n">
        <x:v>45127.941251296295</x:v>
      </x:c>
      <x:c r="L98" s="11" t="n">
        <x:v>45131.67648398148</x:v>
      </x:c>
      <x:c r="M98" s="11" t="n">
        <x:v>45131.67648969907</x:v>
      </x:c>
      <x:c r="N98" s="13" t="str">
        <x:v>Status was not populated in the source task.</x:v>
      </x:c>
    </x:row>
    <x:row r="99">
      <x:c r="A99" s="13" t="str">
        <x:v>FICT-TASK-0095</x:v>
      </x:c>
      <x:c r="B99" s="13" t="str">
        <x:v>Service Area 4 - Complaints Received</x:v>
      </x:c>
      <x:c r="C99" s="10" t="n">
        <x:v>45128</x:v>
      </x:c>
      <x:c r="D99" s="9" t="n">
        <x:f>IF(C99="","Undated",YEAR(C99))</x:f>
        <x:v>2023</x:v>
      </x:c>
      <x:c r="E99" s="9" t="str">
        <x:f>IF(C99="","Undated",TEXT(C99,"yyyy-mm"))</x:f>
        <x:v>2023-07</x:v>
      </x:c>
      <x:c r="F99" s="9" t="str">
        <x:v>Complaints Received</x:v>
      </x:c>
      <x:c r="G99" s="9" t="str">
        <x:v>No status</x:v>
      </x:c>
      <x:c r="H99" s="9" t="str">
        <x:v>Yes</x:v>
      </x:c>
      <x:c r="I99" s="9" t="str">
        <x:v>Reviewer C</x:v>
      </x:c>
      <x:c r="J99" s="12"/>
      <x:c r="K99" s="11" t="n">
        <x:v>45131.67649831018</x:v>
      </x:c>
      <x:c r="L99" s="11" t="n">
        <x:v>45145.96573738426</x:v>
      </x:c>
      <x:c r="M99" s="11" t="n">
        <x:v>45145.96574092592</x:v>
      </x:c>
      <x:c r="N99" s="13" t="str">
        <x:v>Status was not populated in the source task.</x:v>
      </x:c>
    </x:row>
    <x:row r="100">
      <x:c r="A100" s="13" t="str">
        <x:v>FICT-TASK-0096</x:v>
      </x:c>
      <x:c r="B100" s="13" t="str">
        <x:v>Service Area 5 - Complaints Received</x:v>
      </x:c>
      <x:c r="C100" s="10" t="n">
        <x:v>45142</x:v>
      </x:c>
      <x:c r="D100" s="9" t="n">
        <x:f>IF(C100="","Undated",YEAR(C100))</x:f>
        <x:v>2023</x:v>
      </x:c>
      <x:c r="E100" s="9" t="str">
        <x:f>IF(C100="","Undated",TEXT(C100,"yyyy-mm"))</x:f>
        <x:v>2023-08</x:v>
      </x:c>
      <x:c r="F100" s="9" t="str">
        <x:v>Complaints Received</x:v>
      </x:c>
      <x:c r="G100" s="9" t="str">
        <x:v>No status</x:v>
      </x:c>
      <x:c r="H100" s="9" t="str">
        <x:v>Yes</x:v>
      </x:c>
      <x:c r="I100" s="9" t="str">
        <x:v>Vendor Representative</x:v>
      </x:c>
      <x:c r="J100" s="12"/>
      <x:c r="K100" s="11" t="n">
        <x:v>45145.96574609954</x:v>
      </x:c>
      <x:c r="L100" s="11" t="n">
        <x:v>45166.94304888889</x:v>
      </x:c>
      <x:c r="M100" s="11" t="n">
        <x:v>45166.943059386576</x:v>
      </x:c>
      <x:c r="N100" s="13" t="str">
        <x:v>Status was not populated in the source task.</x:v>
      </x:c>
    </x:row>
    <x:row r="101">
      <x:c r="A101" s="13" t="str">
        <x:v>FICT-TASK-0097</x:v>
      </x:c>
      <x:c r="B101" s="13" t="str">
        <x:v>Service Area 6 - Complaints Received</x:v>
      </x:c>
      <x:c r="C101" s="10" t="n">
        <x:v>45156</x:v>
      </x:c>
      <x:c r="D101" s="9" t="n">
        <x:f>IF(C101="","Undated",YEAR(C101))</x:f>
        <x:v>2023</x:v>
      </x:c>
      <x:c r="E101" s="9" t="str">
        <x:f>IF(C101="","Undated",TEXT(C101,"yyyy-mm"))</x:f>
        <x:v>2023-08</x:v>
      </x:c>
      <x:c r="F101" s="9" t="str">
        <x:v>Complaints Received</x:v>
      </x:c>
      <x:c r="G101" s="9" t="str">
        <x:v>No status</x:v>
      </x:c>
      <x:c r="H101" s="9" t="str">
        <x:v>Yes</x:v>
      </x:c>
      <x:c r="I101" s="9" t="str">
        <x:v>Reviewer A</x:v>
      </x:c>
      <x:c r="J101" s="12"/>
      <x:c r="K101" s="11" t="n">
        <x:v>45166.94306783565</x:v>
      </x:c>
      <x:c r="L101" s="11" t="n">
        <x:v>45175.76522461806</x:v>
      </x:c>
      <x:c r="M101" s="11" t="n">
        <x:v>45175.765228171294</x:v>
      </x:c>
      <x:c r="N101" s="13" t="str">
        <x:v>Status was not populated in the source task.</x:v>
      </x:c>
    </x:row>
    <x:row r="102">
      <x:c r="A102" s="13" t="str">
        <x:v>FICT-TASK-0098</x:v>
      </x:c>
      <x:c r="B102" s="13" t="str">
        <x:v>Service Area 7 - Complaints Received</x:v>
      </x:c>
      <x:c r="C102" s="10" t="n">
        <x:v>45170</x:v>
      </x:c>
      <x:c r="D102" s="9" t="n">
        <x:f>IF(C102="","Undated",YEAR(C102))</x:f>
        <x:v>2023</x:v>
      </x:c>
      <x:c r="E102" s="9" t="str">
        <x:f>IF(C102="","Undated",TEXT(C102,"yyyy-mm"))</x:f>
        <x:v>2023-09</x:v>
      </x:c>
      <x:c r="F102" s="9" t="str">
        <x:v>Complaints Received</x:v>
      </x:c>
      <x:c r="G102" s="9" t="str">
        <x:v>No status</x:v>
      </x:c>
      <x:c r="H102" s="9" t="str">
        <x:v>Yes</x:v>
      </x:c>
      <x:c r="I102" s="9" t="str">
        <x:v>Reviewer B</x:v>
      </x:c>
      <x:c r="J102" s="12"/>
      <x:c r="K102" s="11" t="n">
        <x:v>45175.76523380787</x:v>
      </x:c>
      <x:c r="L102" s="11" t="n">
        <x:v>45197.85633663194</x:v>
      </x:c>
      <x:c r="M102" s="11" t="n">
        <x:v>45197.85634086806</x:v>
      </x:c>
      <x:c r="N102" s="13" t="str">
        <x:v>Status was not populated in the source task.</x:v>
      </x:c>
    </x:row>
    <x:row r="103">
      <x:c r="A103" s="13" t="str">
        <x:v>FICT-TASK-0099</x:v>
      </x:c>
      <x:c r="B103" s="13" t="str">
        <x:v>Service Area 1 - Complaints Received</x:v>
      </x:c>
      <x:c r="C103" s="10" t="n">
        <x:v>45184</x:v>
      </x:c>
      <x:c r="D103" s="9" t="n">
        <x:f>IF(C103="","Undated",YEAR(C103))</x:f>
        <x:v>2023</x:v>
      </x:c>
      <x:c r="E103" s="9" t="str">
        <x:f>IF(C103="","Undated",TEXT(C103,"yyyy-mm"))</x:f>
        <x:v>2023-09</x:v>
      </x:c>
      <x:c r="F103" s="9" t="str">
        <x:v>Complaints Received</x:v>
      </x:c>
      <x:c r="G103" s="9" t="str">
        <x:v>No status</x:v>
      </x:c>
      <x:c r="H103" s="9" t="str">
        <x:v>Yes</x:v>
      </x:c>
      <x:c r="I103" s="9" t="str">
        <x:v>Reviewer C</x:v>
      </x:c>
      <x:c r="J103" s="12"/>
      <x:c r="K103" s="11" t="n">
        <x:v>45197.85634790509</x:v>
      </x:c>
      <x:c r="L103" s="11" t="n">
        <x:v>45197.857887743055</x:v>
      </x:c>
      <x:c r="M103" s="11" t="n">
        <x:v>45197.85789254629</x:v>
      </x:c>
      <x:c r="N103" s="13" t="str">
        <x:v>Status was not populated in the source task.</x:v>
      </x:c>
    </x:row>
    <x:row r="104">
      <x:c r="A104" s="13" t="str">
        <x:v>FICT-TASK-0100</x:v>
      </x:c>
      <x:c r="B104" s="13" t="str">
        <x:v>Service Area 2 - Complaints Received</x:v>
      </x:c>
      <x:c r="C104" s="10" t="n">
        <x:v>45198</x:v>
      </x:c>
      <x:c r="D104" s="9" t="n">
        <x:f>IF(C104="","Undated",YEAR(C104))</x:f>
        <x:v>2023</x:v>
      </x:c>
      <x:c r="E104" s="9" t="str">
        <x:f>IF(C104="","Undated",TEXT(C104,"yyyy-mm"))</x:f>
        <x:v>2023-09</x:v>
      </x:c>
      <x:c r="F104" s="9" t="str">
        <x:v>Complaints Received</x:v>
      </x:c>
      <x:c r="G104" s="9" t="str">
        <x:v>No status</x:v>
      </x:c>
      <x:c r="H104" s="9" t="str">
        <x:v>Yes</x:v>
      </x:c>
      <x:c r="I104" s="9" t="str">
        <x:v>Vendor Representative</x:v>
      </x:c>
      <x:c r="J104" s="12"/>
      <x:c r="K104" s="11" t="n">
        <x:v>45197.85789828704</x:v>
      </x:c>
      <x:c r="L104" s="11" t="n">
        <x:v>45210.82181314815</x:v>
      </x:c>
      <x:c r="M104" s="11" t="n">
        <x:v>45210.8218178125</x:v>
      </x:c>
      <x:c r="N104" s="13" t="str">
        <x:v>Status was not populated in the source task.</x:v>
      </x:c>
    </x:row>
    <x:row r="105">
      <x:c r="A105" s="13" t="str">
        <x:v>FICT-TASK-0101</x:v>
      </x:c>
      <x:c r="B105" s="13" t="str">
        <x:v>Service Area 3 - Complaints Received</x:v>
      </x:c>
      <x:c r="C105" s="10" t="n">
        <x:v>45212</x:v>
      </x:c>
      <x:c r="D105" s="9" t="n">
        <x:f>IF(C105="","Undated",YEAR(C105))</x:f>
        <x:v>2023</x:v>
      </x:c>
      <x:c r="E105" s="9" t="str">
        <x:f>IF(C105="","Undated",TEXT(C105,"yyyy-mm"))</x:f>
        <x:v>2023-10</x:v>
      </x:c>
      <x:c r="F105" s="9" t="str">
        <x:v>Complaints Received</x:v>
      </x:c>
      <x:c r="G105" s="9" t="str">
        <x:v>No status</x:v>
      </x:c>
      <x:c r="H105" s="9" t="str">
        <x:v>Yes</x:v>
      </x:c>
      <x:c r="I105" s="9" t="str">
        <x:v>Reviewer A</x:v>
      </x:c>
      <x:c r="J105" s="12"/>
      <x:c r="K105" s="11" t="n">
        <x:v>45210.82182375</x:v>
      </x:c>
      <x:c r="L105" s="11" t="n">
        <x:v>45260.851891053244</x:v>
      </x:c>
      <x:c r="M105" s="11" t="n">
        <x:v>45260.851894479165</x:v>
      </x:c>
      <x:c r="N105" s="13" t="str">
        <x:v>Status was not populated in the source task.</x:v>
      </x:c>
    </x:row>
    <x:row r="106">
      <x:c r="A106" s="13" t="str">
        <x:v>FICT-TASK-0102</x:v>
      </x:c>
      <x:c r="B106" s="13" t="str">
        <x:v>Service Area 4 - Complaints Received</x:v>
      </x:c>
      <x:c r="C106" s="10" t="n">
        <x:v>45226</x:v>
      </x:c>
      <x:c r="D106" s="9" t="n">
        <x:f>IF(C106="","Undated",YEAR(C106))</x:f>
        <x:v>2023</x:v>
      </x:c>
      <x:c r="E106" s="9" t="str">
        <x:f>IF(C106="","Undated",TEXT(C106,"yyyy-mm"))</x:f>
        <x:v>2023-10</x:v>
      </x:c>
      <x:c r="F106" s="9" t="str">
        <x:v>Complaints Received</x:v>
      </x:c>
      <x:c r="G106" s="9" t="str">
        <x:v>No status</x:v>
      </x:c>
      <x:c r="H106" s="9" t="str">
        <x:v>Yes</x:v>
      </x:c>
      <x:c r="I106" s="9" t="str">
        <x:v>Reviewer B</x:v>
      </x:c>
      <x:c r="J106" s="12"/>
      <x:c r="K106" s="11" t="n">
        <x:v>45260.851899918984</x:v>
      </x:c>
      <x:c r="L106" s="11" t="n">
        <x:v>45260.852111388886</x:v>
      </x:c>
      <x:c r="M106" s="11" t="n">
        <x:v>45260.85211568287</x:v>
      </x:c>
      <x:c r="N106" s="13" t="str">
        <x:v>Status was not populated in the source task.</x:v>
      </x:c>
    </x:row>
    <x:row r="107">
      <x:c r="A107" s="13" t="str">
        <x:v>FICT-TASK-0103</x:v>
      </x:c>
      <x:c r="B107" s="13" t="str">
        <x:v>Service Area 5 - Complaints Received</x:v>
      </x:c>
      <x:c r="C107" s="10" t="n">
        <x:v>45240</x:v>
      </x:c>
      <x:c r="D107" s="9" t="n">
        <x:f>IF(C107="","Undated",YEAR(C107))</x:f>
        <x:v>2023</x:v>
      </x:c>
      <x:c r="E107" s="9" t="str">
        <x:f>IF(C107="","Undated",TEXT(C107,"yyyy-mm"))</x:f>
        <x:v>2023-11</x:v>
      </x:c>
      <x:c r="F107" s="9" t="str">
        <x:v>Complaints Received</x:v>
      </x:c>
      <x:c r="G107" s="9" t="str">
        <x:v>No status</x:v>
      </x:c>
      <x:c r="H107" s="9" t="str">
        <x:v>Yes</x:v>
      </x:c>
      <x:c r="I107" s="9" t="str">
        <x:v>Reviewer C</x:v>
      </x:c>
      <x:c r="J107" s="12"/>
      <x:c r="K107" s="11" t="n">
        <x:v>45260.85212216435</x:v>
      </x:c>
      <x:c r="L107" s="11" t="n">
        <x:v>45260.85227951389</x:v>
      </x:c>
      <x:c r="M107" s="11" t="n">
        <x:v>45260.85228295139</x:v>
      </x:c>
      <x:c r="N107" s="13" t="str">
        <x:v>Status was not populated in the source task.</x:v>
      </x:c>
    </x:row>
    <x:row r="108">
      <x:c r="A108" s="13" t="str">
        <x:v>FICT-TASK-0104</x:v>
      </x:c>
      <x:c r="B108" s="13" t="str">
        <x:v>Service Area 6 - Complaints Received</x:v>
      </x:c>
      <x:c r="C108" s="10" t="n">
        <x:v>45254</x:v>
      </x:c>
      <x:c r="D108" s="9" t="n">
        <x:f>IF(C108="","Undated",YEAR(C108))</x:f>
        <x:v>2023</x:v>
      </x:c>
      <x:c r="E108" s="9" t="str">
        <x:f>IF(C108="","Undated",TEXT(C108,"yyyy-mm"))</x:f>
        <x:v>2023-11</x:v>
      </x:c>
      <x:c r="F108" s="9" t="str">
        <x:v>Complaints Received</x:v>
      </x:c>
      <x:c r="G108" s="9" t="str">
        <x:v>No status</x:v>
      </x:c>
      <x:c r="H108" s="9" t="str">
        <x:v>Yes</x:v>
      </x:c>
      <x:c r="I108" s="9" t="str">
        <x:v>Vendor Representative</x:v>
      </x:c>
      <x:c r="J108" s="12"/>
      <x:c r="K108" s="11" t="n">
        <x:v>45260.8522875</x:v>
      </x:c>
      <x:c r="L108" s="11" t="n">
        <x:v>45268.797026099535</x:v>
      </x:c>
      <x:c r="M108" s="11" t="n">
        <x:v>45268.797029409725</x:v>
      </x:c>
      <x:c r="N108" s="13" t="str">
        <x:v>Status was not populated in the source task.</x:v>
      </x:c>
    </x:row>
    <x:row r="109">
      <x:c r="A109" s="13" t="str">
        <x:v>FICT-TASK-0105</x:v>
      </x:c>
      <x:c r="B109" s="13" t="str">
        <x:v>Service Area 7 - Complaints Received</x:v>
      </x:c>
      <x:c r="C109" s="10" t="n">
        <x:v>45268</x:v>
      </x:c>
      <x:c r="D109" s="9" t="n">
        <x:f>IF(C109="","Undated",YEAR(C109))</x:f>
        <x:v>2023</x:v>
      </x:c>
      <x:c r="E109" s="9" t="str">
        <x:f>IF(C109="","Undated",TEXT(C109,"yyyy-mm"))</x:f>
        <x:v>2023-12</x:v>
      </x:c>
      <x:c r="F109" s="9" t="str">
        <x:v>Complaints Received</x:v>
      </x:c>
      <x:c r="G109" s="9" t="str">
        <x:v>No status</x:v>
      </x:c>
      <x:c r="H109" s="9" t="str">
        <x:v>Yes</x:v>
      </x:c>
      <x:c r="I109" s="9" t="str">
        <x:v>Reviewer A</x:v>
      </x:c>
      <x:c r="J109" s="12"/>
      <x:c r="K109" s="11" t="n">
        <x:v>45268.79703675926</x:v>
      </x:c>
      <x:c r="L109" s="11" t="n">
        <x:v>45294.90731978009</x:v>
      </x:c>
      <x:c r="M109" s="11" t="n">
        <x:v>45294.907324594904</x:v>
      </x:c>
      <x:c r="N109" s="13" t="str">
        <x:v>Status was not populated in the source task.</x:v>
      </x:c>
    </x:row>
    <x:row r="110">
      <x:c r="A110" s="13" t="str">
        <x:v>FICT-TASK-0106</x:v>
      </x:c>
      <x:c r="B110" s="13" t="str">
        <x:v>Service Area 1 - Complaints Received</x:v>
      </x:c>
      <x:c r="C110" s="10" t="n">
        <x:v>45282</x:v>
      </x:c>
      <x:c r="D110" s="9" t="n">
        <x:f>IF(C110="","Undated",YEAR(C110))</x:f>
        <x:v>2023</x:v>
      </x:c>
      <x:c r="E110" s="9" t="str">
        <x:f>IF(C110="","Undated",TEXT(C110,"yyyy-mm"))</x:f>
        <x:v>2023-12</x:v>
      </x:c>
      <x:c r="F110" s="9" t="str">
        <x:v>Complaints Received</x:v>
      </x:c>
      <x:c r="G110" s="9" t="str">
        <x:v>No status</x:v>
      </x:c>
      <x:c r="H110" s="9" t="str">
        <x:v>Yes</x:v>
      </x:c>
      <x:c r="I110" s="9" t="str">
        <x:v>Reviewer B</x:v>
      </x:c>
      <x:c r="J110" s="12"/>
      <x:c r="K110" s="11" t="n">
        <x:v>45294.90733017361</x:v>
      </x:c>
      <x:c r="L110" s="11" t="n">
        <x:v>45294.907527800926</x:v>
      </x:c>
      <x:c r="M110" s="11" t="n">
        <x:v>45294.907531192126</x:v>
      </x:c>
      <x:c r="N110" s="13" t="str">
        <x:v>Status was not populated in the source task.</x:v>
      </x:c>
    </x:row>
    <x:row r="111">
      <x:c r="A111" s="13" t="str">
        <x:v>FICT-TASK-0107</x:v>
      </x:c>
      <x:c r="B111" s="13" t="str">
        <x:v>Service Area 2 - Complaints Received</x:v>
      </x:c>
      <x:c r="C111" s="10" t="n">
        <x:v>45296</x:v>
      </x:c>
      <x:c r="D111" s="9" t="n">
        <x:f>IF(C111="","Undated",YEAR(C111))</x:f>
        <x:v>2024</x:v>
      </x:c>
      <x:c r="E111" s="9" t="str">
        <x:f>IF(C111="","Undated",TEXT(C111,"yyyy-mm"))</x:f>
        <x:v>2024-01</x:v>
      </x:c>
      <x:c r="F111" s="9" t="str">
        <x:v>Complaints Received</x:v>
      </x:c>
      <x:c r="G111" s="9" t="str">
        <x:v>No status</x:v>
      </x:c>
      <x:c r="H111" s="9" t="str">
        <x:v>Yes</x:v>
      </x:c>
      <x:c r="I111" s="9" t="str">
        <x:v>Reviewer C</x:v>
      </x:c>
      <x:c r="J111" s="12"/>
      <x:c r="K111" s="11" t="n">
        <x:v>45294.907539733795</x:v>
      </x:c>
      <x:c r="L111" s="11" t="n">
        <x:v>45331.126070625</x:v>
      </x:c>
      <x:c r="M111" s="11" t="n">
        <x:v>45331.12607344907</x:v>
      </x:c>
      <x:c r="N111" s="13" t="str">
        <x:v>Status was not populated in the source task.</x:v>
      </x:c>
    </x:row>
    <x:row r="112">
      <x:c r="A112" s="13" t="str">
        <x:v>FICT-TASK-0108</x:v>
      </x:c>
      <x:c r="B112" s="13" t="str">
        <x:v>Service Area 3 - Complaints Received</x:v>
      </x:c>
      <x:c r="C112" s="10" t="n">
        <x:v>45310</x:v>
      </x:c>
      <x:c r="D112" s="9" t="n">
        <x:f>IF(C112="","Undated",YEAR(C112))</x:f>
        <x:v>2024</x:v>
      </x:c>
      <x:c r="E112" s="9" t="str">
        <x:f>IF(C112="","Undated",TEXT(C112,"yyyy-mm"))</x:f>
        <x:v>2024-01</x:v>
      </x:c>
      <x:c r="F112" s="9" t="str">
        <x:v>Complaints Received</x:v>
      </x:c>
      <x:c r="G112" s="9" t="str">
        <x:v>No status</x:v>
      </x:c>
      <x:c r="H112" s="9" t="str">
        <x:v>Yes</x:v>
      </x:c>
      <x:c r="I112" s="9" t="str">
        <x:v>Vendor Representative</x:v>
      </x:c>
      <x:c r="J112" s="12"/>
      <x:c r="K112" s="11" t="n">
        <x:v>45331.12607902778</x:v>
      </x:c>
      <x:c r="L112" s="11" t="n">
        <x:v>45335.11409072917</x:v>
      </x:c>
      <x:c r="M112" s="11" t="n">
        <x:v>45335.1140946875</x:v>
      </x:c>
      <x:c r="N112" s="13" t="str">
        <x:v>Status was not populated in the source task.</x:v>
      </x:c>
    </x:row>
    <x:row r="113">
      <x:c r="A113" s="13" t="str">
        <x:v>FICT-TASK-0109</x:v>
      </x:c>
      <x:c r="B113" s="13" t="str">
        <x:v>Service Area 4 - Complaints Received</x:v>
      </x:c>
      <x:c r="C113" s="10" t="n">
        <x:v>45324</x:v>
      </x:c>
      <x:c r="D113" s="9" t="n">
        <x:f>IF(C113="","Undated",YEAR(C113))</x:f>
        <x:v>2024</x:v>
      </x:c>
      <x:c r="E113" s="9" t="str">
        <x:f>IF(C113="","Undated",TEXT(C113,"yyyy-mm"))</x:f>
        <x:v>2024-02</x:v>
      </x:c>
      <x:c r="F113" s="9" t="str">
        <x:v>Complaints Received</x:v>
      </x:c>
      <x:c r="G113" s="9" t="str">
        <x:v>No status</x:v>
      </x:c>
      <x:c r="H113" s="9" t="str">
        <x:v>Yes</x:v>
      </x:c>
      <x:c r="I113" s="9" t="str">
        <x:v>Reviewer A</x:v>
      </x:c>
      <x:c r="J113" s="12"/>
      <x:c r="K113" s="11" t="n">
        <x:v>45335.11410039352</x:v>
      </x:c>
      <x:c r="L113" s="11" t="n">
        <x:v>45351.750152291665</x:v>
      </x:c>
      <x:c r="M113" s="11" t="n">
        <x:v>45351.75015662037</x:v>
      </x:c>
      <x:c r="N113" s="13" t="str">
        <x:v>Status was not populated in the source task.</x:v>
      </x:c>
    </x:row>
    <x:row r="114">
      <x:c r="A114" s="13" t="str">
        <x:v>FICT-TASK-0110</x:v>
      </x:c>
      <x:c r="B114" s="13" t="str">
        <x:v>Service Area 5 - Complaints Received</x:v>
      </x:c>
      <x:c r="C114" s="10" t="n">
        <x:v>45338</x:v>
      </x:c>
      <x:c r="D114" s="9" t="n">
        <x:f>IF(C114="","Undated",YEAR(C114))</x:f>
        <x:v>2024</x:v>
      </x:c>
      <x:c r="E114" s="9" t="str">
        <x:f>IF(C114="","Undated",TEXT(C114,"yyyy-mm"))</x:f>
        <x:v>2024-02</x:v>
      </x:c>
      <x:c r="F114" s="9" t="str">
        <x:v>Complaints Received</x:v>
      </x:c>
      <x:c r="G114" s="9" t="str">
        <x:v>No status</x:v>
      </x:c>
      <x:c r="H114" s="9" t="str">
        <x:v>Yes</x:v>
      </x:c>
      <x:c r="I114" s="9" t="str">
        <x:v>Reviewer B</x:v>
      </x:c>
      <x:c r="J114" s="12"/>
      <x:c r="K114" s="11" t="n">
        <x:v>45351.75016304398</x:v>
      </x:c>
      <x:c r="L114" s="11" t="n">
        <x:v>45356.05768179398</x:v>
      </x:c>
      <x:c r="M114" s="11" t="n">
        <x:v>45356.05768636574</x:v>
      </x:c>
      <x:c r="N114" s="13" t="str">
        <x:v>Status was not populated in the source task.</x:v>
      </x:c>
    </x:row>
    <x:row r="115">
      <x:c r="A115" s="13" t="str">
        <x:v>FICT-TASK-0111</x:v>
      </x:c>
      <x:c r="B115" s="13" t="str">
        <x:v>Service Area 6 - Complaints Received</x:v>
      </x:c>
      <x:c r="C115" s="10" t="n">
        <x:v>45352</x:v>
      </x:c>
      <x:c r="D115" s="9" t="n">
        <x:f>IF(C115="","Undated",YEAR(C115))</x:f>
        <x:v>2024</x:v>
      </x:c>
      <x:c r="E115" s="9" t="str">
        <x:f>IF(C115="","Undated",TEXT(C115,"yyyy-mm"))</x:f>
        <x:v>2024-03</x:v>
      </x:c>
      <x:c r="F115" s="9" t="str">
        <x:v>Complaints Received</x:v>
      </x:c>
      <x:c r="G115" s="9" t="str">
        <x:v>No status</x:v>
      </x:c>
      <x:c r="H115" s="9" t="str">
        <x:v>Yes</x:v>
      </x:c>
      <x:c r="I115" s="9" t="str">
        <x:v>Reviewer C</x:v>
      </x:c>
      <x:c r="J115" s="12"/>
      <x:c r="K115" s="11" t="n">
        <x:v>45356.05769401621</x:v>
      </x:c>
      <x:c r="L115" s="11" t="n">
        <x:v>45379.730543287034</x:v>
      </x:c>
      <x:c r="M115" s="11" t="n">
        <x:v>45379.73054791667</x:v>
      </x:c>
      <x:c r="N115" s="13" t="str">
        <x:v>Status was not populated in the source task.</x:v>
      </x:c>
    </x:row>
    <x:row r="116">
      <x:c r="A116" s="13" t="str">
        <x:v>FICT-TASK-0112</x:v>
      </x:c>
      <x:c r="B116" s="13" t="str">
        <x:v>Service Area 7 - Complaints Received</x:v>
      </x:c>
      <x:c r="C116" s="10" t="n">
        <x:v>45366</x:v>
      </x:c>
      <x:c r="D116" s="9" t="n">
        <x:f>IF(C116="","Undated",YEAR(C116))</x:f>
        <x:v>2024</x:v>
      </x:c>
      <x:c r="E116" s="9" t="str">
        <x:f>IF(C116="","Undated",TEXT(C116,"yyyy-mm"))</x:f>
        <x:v>2024-03</x:v>
      </x:c>
      <x:c r="F116" s="9" t="str">
        <x:v>Complaints Received</x:v>
      </x:c>
      <x:c r="G116" s="9" t="str">
        <x:v>No status</x:v>
      </x:c>
      <x:c r="H116" s="9" t="str">
        <x:v>Yes</x:v>
      </x:c>
      <x:c r="I116" s="9" t="str">
        <x:v>Vendor Representative</x:v>
      </x:c>
      <x:c r="J116" s="12"/>
      <x:c r="K116" s="11" t="n">
        <x:v>45379.73055519676</x:v>
      </x:c>
      <x:c r="L116" s="11" t="n">
        <x:v>45391.65867837963</x:v>
      </x:c>
      <x:c r="M116" s="11" t="n">
        <x:v>45391.65868383102</x:v>
      </x:c>
      <x:c r="N116" s="13" t="str">
        <x:v>Status was not populated in the source task.</x:v>
      </x:c>
    </x:row>
    <x:row r="117">
      <x:c r="A117" s="13" t="str">
        <x:v>FICT-TASK-0113</x:v>
      </x:c>
      <x:c r="B117" s="13" t="str">
        <x:v>Service Area 1 - Complaints Received</x:v>
      </x:c>
      <x:c r="C117" s="10" t="n">
        <x:v>45380</x:v>
      </x:c>
      <x:c r="D117" s="9" t="n">
        <x:f>IF(C117="","Undated",YEAR(C117))</x:f>
        <x:v>2024</x:v>
      </x:c>
      <x:c r="E117" s="9" t="str">
        <x:f>IF(C117="","Undated",TEXT(C117,"yyyy-mm"))</x:f>
        <x:v>2024-03</x:v>
      </x:c>
      <x:c r="F117" s="9" t="str">
        <x:v>Complaints Received</x:v>
      </x:c>
      <x:c r="G117" s="9" t="str">
        <x:v>No status</x:v>
      </x:c>
      <x:c r="H117" s="9" t="str">
        <x:v>Yes</x:v>
      </x:c>
      <x:c r="I117" s="9" t="str">
        <x:v>Reviewer A</x:v>
      </x:c>
      <x:c r="J117" s="12"/>
      <x:c r="K117" s="11" t="n">
        <x:v>45391.658691145836</x:v>
      </x:c>
      <x:c r="L117" s="11" t="n">
        <x:v>45421.77955114583</x:v>
      </x:c>
      <x:c r="M117" s="11" t="n">
        <x:v>45421.779555520836</x:v>
      </x:c>
      <x:c r="N117" s="13" t="str">
        <x:v>Status was not populated in the source task.</x:v>
      </x:c>
    </x:row>
    <x:row r="118">
      <x:c r="A118" s="13" t="str">
        <x:v>FICT-TASK-0114</x:v>
      </x:c>
      <x:c r="B118" s="13" t="str">
        <x:v>Service Area 2 - Complaints Received</x:v>
      </x:c>
      <x:c r="C118" s="10" t="n">
        <x:v>45394</x:v>
      </x:c>
      <x:c r="D118" s="9" t="n">
        <x:f>IF(C118="","Undated",YEAR(C118))</x:f>
        <x:v>2024</x:v>
      </x:c>
      <x:c r="E118" s="9" t="str">
        <x:f>IF(C118="","Undated",TEXT(C118,"yyyy-mm"))</x:f>
        <x:v>2024-04</x:v>
      </x:c>
      <x:c r="F118" s="9" t="str">
        <x:v>Complaints Received</x:v>
      </x:c>
      <x:c r="G118" s="9" t="str">
        <x:v>No status</x:v>
      </x:c>
      <x:c r="H118" s="9" t="str">
        <x:v>Yes</x:v>
      </x:c>
      <x:c r="I118" s="9" t="str">
        <x:v>Reviewer B</x:v>
      </x:c>
      <x:c r="J118" s="12"/>
      <x:c r="K118" s="11" t="n">
        <x:v>45421.779563055556</x:v>
      </x:c>
      <x:c r="L118" s="11" t="n">
        <x:v>45421.77974039352</x:v>
      </x:c>
      <x:c r="M118" s="11" t="n">
        <x:v>45421.77974474537</x:v>
      </x:c>
      <x:c r="N118" s="13" t="str">
        <x:v>Status was not populated in the source task.</x:v>
      </x:c>
    </x:row>
    <x:row r="119">
      <x:c r="A119" s="13" t="str">
        <x:v>FICT-TASK-0115</x:v>
      </x:c>
      <x:c r="B119" s="13" t="str">
        <x:v>Service Area 3 - Complaints Received</x:v>
      </x:c>
      <x:c r="C119" s="10" t="n">
        <x:v>45408</x:v>
      </x:c>
      <x:c r="D119" s="9" t="n">
        <x:f>IF(C119="","Undated",YEAR(C119))</x:f>
        <x:v>2024</x:v>
      </x:c>
      <x:c r="E119" s="9" t="str">
        <x:f>IF(C119="","Undated",TEXT(C119,"yyyy-mm"))</x:f>
        <x:v>2024-04</x:v>
      </x:c>
      <x:c r="F119" s="9" t="str">
        <x:v>Complaints Received</x:v>
      </x:c>
      <x:c r="G119" s="9" t="str">
        <x:v>No status</x:v>
      </x:c>
      <x:c r="H119" s="9" t="str">
        <x:v>Yes</x:v>
      </x:c>
      <x:c r="I119" s="9" t="str">
        <x:v>Reviewer C</x:v>
      </x:c>
      <x:c r="J119" s="12"/>
      <x:c r="K119" s="11" t="n">
        <x:v>45421.77975486111</x:v>
      </x:c>
      <x:c r="L119" s="11" t="n">
        <x:v>45421.78005563658</x:v>
      </x:c>
      <x:c r="M119" s="11" t="n">
        <x:v>45421.78005947917</x:v>
      </x:c>
      <x:c r="N119" s="13" t="str">
        <x:v>Status was not populated in the source task.</x:v>
      </x:c>
    </x:row>
    <x:row r="120">
      <x:c r="A120" s="13" t="str">
        <x:v>FICT-TASK-0116</x:v>
      </x:c>
      <x:c r="B120" s="13" t="str">
        <x:v>Service Area 4 - Complaints Received</x:v>
      </x:c>
      <x:c r="C120" s="10" t="n">
        <x:v>45422</x:v>
      </x:c>
      <x:c r="D120" s="9" t="n">
        <x:f>IF(C120="","Undated",YEAR(C120))</x:f>
        <x:v>2024</x:v>
      </x:c>
      <x:c r="E120" s="9" t="str">
        <x:f>IF(C120="","Undated",TEXT(C120,"yyyy-mm"))</x:f>
        <x:v>2024-05</x:v>
      </x:c>
      <x:c r="F120" s="9" t="str">
        <x:v>Complaints Received</x:v>
      </x:c>
      <x:c r="G120" s="9" t="str">
        <x:v>No status</x:v>
      </x:c>
      <x:c r="H120" s="9" t="str">
        <x:v>Yes</x:v>
      </x:c>
      <x:c r="I120" s="9" t="str">
        <x:v>Vendor Representative</x:v>
      </x:c>
      <x:c r="J120" s="12"/>
      <x:c r="K120" s="11" t="n">
        <x:v>45421.78006762732</x:v>
      </x:c>
      <x:c r="L120" s="11" t="n">
        <x:v>45498.034854930556</x:v>
      </x:c>
      <x:c r="M120" s="11" t="n">
        <x:v>45498.034859050924</x:v>
      </x:c>
      <x:c r="N120" s="13" t="str">
        <x:v>Status was not populated in the source task.</x:v>
      </x:c>
    </x:row>
    <x:row r="121">
      <x:c r="A121" s="13" t="str">
        <x:v>FICT-TASK-0117</x:v>
      </x:c>
      <x:c r="B121" s="13" t="str">
        <x:v>Service Area 5 - Complaints Received</x:v>
      </x:c>
      <x:c r="C121" s="10" t="n">
        <x:v>45436</x:v>
      </x:c>
      <x:c r="D121" s="9" t="n">
        <x:f>IF(C121="","Undated",YEAR(C121))</x:f>
        <x:v>2024</x:v>
      </x:c>
      <x:c r="E121" s="9" t="str">
        <x:f>IF(C121="","Undated",TEXT(C121,"yyyy-mm"))</x:f>
        <x:v>2024-05</x:v>
      </x:c>
      <x:c r="F121" s="9" t="str">
        <x:v>Complaints Received</x:v>
      </x:c>
      <x:c r="G121" s="9" t="str">
        <x:v>No status</x:v>
      </x:c>
      <x:c r="H121" s="9" t="str">
        <x:v>Yes</x:v>
      </x:c>
      <x:c r="I121" s="9" t="str">
        <x:v>Reviewer A</x:v>
      </x:c>
      <x:c r="J121" s="12"/>
      <x:c r="K121" s="11" t="n">
        <x:v>45498.03486600694</x:v>
      </x:c>
      <x:c r="L121" s="11" t="n">
        <x:v>45498.03501814815</x:v>
      </x:c>
      <x:c r="M121" s="11" t="n">
        <x:v>45498.03502365741</x:v>
      </x:c>
      <x:c r="N121" s="13" t="str">
        <x:v>Status was not populated in the source task.</x:v>
      </x:c>
    </x:row>
    <x:row r="122">
      <x:c r="A122" s="13" t="str">
        <x:v>FICT-TASK-0118</x:v>
      </x:c>
      <x:c r="B122" s="13" t="str">
        <x:v>Service Area 6 - Complaints Received</x:v>
      </x:c>
      <x:c r="C122" s="10" t="n">
        <x:v>45450</x:v>
      </x:c>
      <x:c r="D122" s="9" t="n">
        <x:f>IF(C122="","Undated",YEAR(C122))</x:f>
        <x:v>2024</x:v>
      </x:c>
      <x:c r="E122" s="9" t="str">
        <x:f>IF(C122="","Undated",TEXT(C122,"yyyy-mm"))</x:f>
        <x:v>2024-06</x:v>
      </x:c>
      <x:c r="F122" s="9" t="str">
        <x:v>Complaints Received</x:v>
      </x:c>
      <x:c r="G122" s="9" t="str">
        <x:v>No status</x:v>
      </x:c>
      <x:c r="H122" s="9" t="str">
        <x:v>Yes</x:v>
      </x:c>
      <x:c r="I122" s="9" t="str">
        <x:v>Reviewer B</x:v>
      </x:c>
      <x:c r="J122" s="12"/>
      <x:c r="K122" s="11" t="n">
        <x:v>45498.03503167824</x:v>
      </x:c>
      <x:c r="L122" s="11" t="n">
        <x:v>45498.035710648146</x:v>
      </x:c>
      <x:c r="M122" s="11" t="n">
        <x:v>45498.03571538194</x:v>
      </x:c>
      <x:c r="N122" s="13" t="str">
        <x:v>Status was not populated in the source task.</x:v>
      </x:c>
    </x:row>
    <x:row r="123">
      <x:c r="A123" s="13" t="str">
        <x:v>FICT-TASK-0119</x:v>
      </x:c>
      <x:c r="B123" s="13" t="str">
        <x:v>Service Area 7 - Complaints Received</x:v>
      </x:c>
      <x:c r="C123" s="10" t="n">
        <x:v>45464</x:v>
      </x:c>
      <x:c r="D123" s="9" t="n">
        <x:f>IF(C123="","Undated",YEAR(C123))</x:f>
        <x:v>2024</x:v>
      </x:c>
      <x:c r="E123" s="9" t="str">
        <x:f>IF(C123="","Undated",TEXT(C123,"yyyy-mm"))</x:f>
        <x:v>2024-06</x:v>
      </x:c>
      <x:c r="F123" s="9" t="str">
        <x:v>Complaints Received</x:v>
      </x:c>
      <x:c r="G123" s="9" t="str">
        <x:v>No status</x:v>
      </x:c>
      <x:c r="H123" s="9" t="str">
        <x:v>Yes</x:v>
      </x:c>
      <x:c r="I123" s="9" t="str">
        <x:v>Reviewer C</x:v>
      </x:c>
      <x:c r="J123" s="12"/>
      <x:c r="K123" s="11" t="n">
        <x:v>45498.03572305555</x:v>
      </x:c>
      <x:c r="L123" s="11" t="n">
        <x:v>45498.035998356485</x:v>
      </x:c>
      <x:c r="M123" s="11" t="n">
        <x:v>45498.036003043984</x:v>
      </x:c>
      <x:c r="N123" s="13" t="str">
        <x:v>Status was not populated in the source task.</x:v>
      </x:c>
    </x:row>
    <x:row r="124">
      <x:c r="A124" s="13" t="str">
        <x:v>FICT-TASK-0120</x:v>
      </x:c>
      <x:c r="B124" s="13" t="str">
        <x:v>Service Area 1 - Complaints Received</x:v>
      </x:c>
      <x:c r="C124" s="10" t="n">
        <x:v>45503</x:v>
      </x:c>
      <x:c r="D124" s="9" t="n">
        <x:f>IF(C124="","Undated",YEAR(C124))</x:f>
        <x:v>2024</x:v>
      </x:c>
      <x:c r="E124" s="9" t="str">
        <x:f>IF(C124="","Undated",TEXT(C124,"yyyy-mm"))</x:f>
        <x:v>2024-07</x:v>
      </x:c>
      <x:c r="F124" s="9" t="str">
        <x:v>Complaints Received</x:v>
      </x:c>
      <x:c r="G124" s="9" t="str">
        <x:v>No status</x:v>
      </x:c>
      <x:c r="H124" s="9" t="str">
        <x:v>Yes</x:v>
      </x:c>
      <x:c r="I124" s="9" t="str">
        <x:v>Vendor Representative</x:v>
      </x:c>
      <x:c r="J124" s="12"/>
      <x:c r="K124" s="11" t="n">
        <x:v>45498.0360103125</x:v>
      </x:c>
      <x:c r="L124" s="11" t="n">
        <x:v>45560.96710314815</x:v>
      </x:c>
      <x:c r="M124" s="11" t="n">
        <x:v>45560.96712271991</x:v>
      </x:c>
      <x:c r="N124" s="13" t="str">
        <x:v>Status was not populated in the source task.</x:v>
      </x:c>
    </x:row>
    <x:row r="125">
      <x:c r="A125" s="13" t="str">
        <x:v>FICT-TASK-0121</x:v>
      </x:c>
      <x:c r="B125" s="13" t="str">
        <x:v>Service Area 2 - Complaints Received</x:v>
      </x:c>
      <x:c r="C125" s="10" t="n">
        <x:v>45597</x:v>
      </x:c>
      <x:c r="D125" s="9" t="n">
        <x:f>IF(C125="","Undated",YEAR(C125))</x:f>
        <x:v>2024</x:v>
      </x:c>
      <x:c r="E125" s="9" t="str">
        <x:f>IF(C125="","Undated",TEXT(C125,"yyyy-mm"))</x:f>
        <x:v>2024-11</x:v>
      </x:c>
      <x:c r="F125" s="9" t="str">
        <x:v>Complaints Received</x:v>
      </x:c>
      <x:c r="G125" s="9" t="str">
        <x:v>No status</x:v>
      </x:c>
      <x:c r="H125" s="9" t="str">
        <x:v>Yes</x:v>
      </x:c>
      <x:c r="I125" s="9" t="str">
        <x:v>Reviewer A</x:v>
      </x:c>
      <x:c r="J125" s="12"/>
      <x:c r="K125" s="11" t="n">
        <x:v>45560.967134467595</x:v>
      </x:c>
      <x:c r="L125" s="11" t="n">
        <x:v>45603.76769649306</x:v>
      </x:c>
      <x:c r="M125" s="11" t="n">
        <x:v>45603.767701979166</x:v>
      </x:c>
      <x:c r="N125" s="13" t="str">
        <x:v>Status was not populated in the source task.</x:v>
      </x:c>
    </x:row>
    <x:row r="126">
      <x:c r="A126" s="13" t="str">
        <x:v>FICT-TASK-0122</x:v>
      </x:c>
      <x:c r="B126" s="13" t="str">
        <x:v>Service Area 3 - Complaints Received</x:v>
      </x:c>
      <x:c r="C126" s="10" t="n">
        <x:v>44693</x:v>
      </x:c>
      <x:c r="D126" s="9" t="n">
        <x:f>IF(C126="","Undated",YEAR(C126))</x:f>
        <x:v>2022</x:v>
      </x:c>
      <x:c r="E126" s="9" t="str">
        <x:f>IF(C126="","Undated",TEXT(C126,"yyyy-mm"))</x:f>
        <x:v>2022-05</x:v>
      </x:c>
      <x:c r="F126" s="9" t="str">
        <x:v>Complaints Received</x:v>
      </x:c>
      <x:c r="G126" s="9" t="str">
        <x:v>Compliant Received</x:v>
      </x:c>
      <x:c r="H126" s="9" t="str">
        <x:v>Yes</x:v>
      </x:c>
      <x:c r="I126" s="9" t="str">
        <x:v>Reviewer B</x:v>
      </x:c>
      <x:c r="J126" s="12"/>
      <x:c r="K126" s="11" t="n">
        <x:v>44683.691354131945</x:v>
      </x:c>
      <x:c r="L126" s="11" t="n">
        <x:v>44725.67575755787</x:v>
      </x:c>
      <x:c r="M126" s="11" t="n">
        <x:v>44852.94578002315</x:v>
      </x:c>
      <x:c r="N126" s="13" t="str">
        <x:v>Required compliance documentation received.</x:v>
      </x:c>
    </x:row>
    <x:row r="127">
      <x:c r="A127" s="13" t="str">
        <x:v>FICT-TASK-0123</x:v>
      </x:c>
      <x:c r="B127" s="13" t="str">
        <x:v>Service Area 4 - Complaints Received</x:v>
      </x:c>
      <x:c r="C127" s="10" t="n">
        <x:v>44721</x:v>
      </x:c>
      <x:c r="D127" s="9" t="n">
        <x:f>IF(C127="","Undated",YEAR(C127))</x:f>
        <x:v>2022</x:v>
      </x:c>
      <x:c r="E127" s="9" t="str">
        <x:f>IF(C127="","Undated",TEXT(C127,"yyyy-mm"))</x:f>
        <x:v>2022-06</x:v>
      </x:c>
      <x:c r="F127" s="9" t="str">
        <x:v>Complaints Received</x:v>
      </x:c>
      <x:c r="G127" s="9" t="str">
        <x:v>Compliant Received</x:v>
      </x:c>
      <x:c r="H127" s="9" t="str">
        <x:v>Yes</x:v>
      </x:c>
      <x:c r="I127" s="9" t="str">
        <x:v>Reviewer C</x:v>
      </x:c>
      <x:c r="J127" s="12"/>
      <x:c r="K127" s="11" t="n">
        <x:v>44725.67704472222</x:v>
      </x:c>
      <x:c r="L127" s="11" t="n">
        <x:v>44733.70654511574</x:v>
      </x:c>
      <x:c r="M127" s="11" t="n">
        <x:v>44852.94395292824</x:v>
      </x:c>
      <x:c r="N127" s="13" t="str">
        <x:v>Required compliance documentation received.</x:v>
      </x:c>
    </x:row>
    <x:row r="128">
      <x:c r="A128" s="13" t="str">
        <x:v>FICT-TASK-0124</x:v>
      </x:c>
      <x:c r="B128" s="13" t="str">
        <x:v>Service Area 5 - Complaints Received</x:v>
      </x:c>
      <x:c r="C128" s="10" t="n">
        <x:v>44511</x:v>
      </x:c>
      <x:c r="D128" s="9" t="n">
        <x:f>IF(C128="","Undated",YEAR(C128))</x:f>
        <x:v>2021</x:v>
      </x:c>
      <x:c r="E128" s="9" t="str">
        <x:f>IF(C128="","Undated",TEXT(C128,"yyyy-mm"))</x:f>
        <x:v>2021-11</x:v>
      </x:c>
      <x:c r="F128" s="9" t="str">
        <x:v>Complaints Received</x:v>
      </x:c>
      <x:c r="G128" s="9" t="str">
        <x:v>No status</x:v>
      </x:c>
      <x:c r="H128" s="9" t="str">
        <x:v>Yes</x:v>
      </x:c>
      <x:c r="I128" s="9" t="str">
        <x:v>Vendor Representative</x:v>
      </x:c>
      <x:c r="J128" s="12"/>
      <x:c r="K128" s="11" t="n">
        <x:v>44472.02904883102</x:v>
      </x:c>
      <x:c r="L128" s="11" t="n">
        <x:v>44523.085951030094</x:v>
      </x:c>
      <x:c r="M128" s="11" t="n">
        <x:v>44852.94031077546</x:v>
      </x:c>
      <x:c r="N128" s="13" t="str">
        <x:v>Status was not populated in the source task.</x:v>
      </x:c>
    </x:row>
    <x:row r="129">
      <x:c r="A129" s="13" t="str">
        <x:v>FICT-TASK-0125</x:v>
      </x:c>
      <x:c r="B129" s="13" t="str">
        <x:v>Service Area 6 - Complaints Received</x:v>
      </x:c>
      <x:c r="C129" s="10" t="n">
        <x:v>44789</x:v>
      </x:c>
      <x:c r="D129" s="9" t="n">
        <x:f>IF(C129="","Undated",YEAR(C129))</x:f>
        <x:v>2022</x:v>
      </x:c>
      <x:c r="E129" s="9" t="str">
        <x:f>IF(C129="","Undated",TEXT(C129,"yyyy-mm"))</x:f>
        <x:v>2022-08</x:v>
      </x:c>
      <x:c r="F129" s="9" t="str">
        <x:v>Complaints Received</x:v>
      </x:c>
      <x:c r="G129" s="9" t="str">
        <x:v>Compliant Received</x:v>
      </x:c>
      <x:c r="H129" s="9" t="str">
        <x:v>Yes</x:v>
      </x:c>
      <x:c r="I129" s="9" t="str">
        <x:v>Reviewer A</x:v>
      </x:c>
      <x:c r="J129" s="12"/>
      <x:c r="K129" s="11" t="n">
        <x:v>44796.847089166666</x:v>
      </x:c>
      <x:c r="L129" s="11" t="n">
        <x:v>44811.04247537037</x:v>
      </x:c>
      <x:c r="M129" s="11" t="n">
        <x:v>44852.93302834491</x:v>
      </x:c>
      <x:c r="N129" s="13" t="str">
        <x:v>Required compliance documentation received.</x:v>
      </x:c>
    </x:row>
    <x:row r="130">
      <x:c r="A130" s="13" t="str">
        <x:v>FICT-TASK-0126</x:v>
      </x:c>
      <x:c r="B130" s="13" t="str">
        <x:v>Service Area 7 - Complaints Received</x:v>
      </x:c>
      <x:c r="C130" s="10" t="n">
        <x:v>44568</x:v>
      </x:c>
      <x:c r="D130" s="9" t="n">
        <x:f>IF(C130="","Undated",YEAR(C130))</x:f>
        <x:v>2022</x:v>
      </x:c>
      <x:c r="E130" s="9" t="str">
        <x:f>IF(C130="","Undated",TEXT(C130,"yyyy-mm"))</x:f>
        <x:v>2022-01</x:v>
      </x:c>
      <x:c r="F130" s="9" t="str">
        <x:v>Complaints Received</x:v>
      </x:c>
      <x:c r="G130" s="9" t="str">
        <x:v>Under Review</x:v>
      </x:c>
      <x:c r="H130" s="9" t="str">
        <x:v>Yes</x:v>
      </x:c>
      <x:c r="I130" s="9" t="str">
        <x:v>Reviewer B</x:v>
      </x:c>
      <x:c r="J130" s="12"/>
      <x:c r="K130" s="11" t="n">
        <x:v>44554.12236380787</x:v>
      </x:c>
      <x:c r="L130" s="11" t="n">
        <x:v>44576.02313583333</x:v>
      </x:c>
      <x:c r="M130" s="11" t="n">
        <x:v>45175.76439758102</x:v>
      </x:c>
      <x:c r="N130" s="13" t="str">
        <x:v>Routine service-cycle record.</x:v>
      </x:c>
    </x:row>
    <x:row r="131">
      <x:c r="A131" s="13" t="str">
        <x:v>FICT-TASK-0127</x:v>
      </x:c>
      <x:c r="B131" s="13" t="str">
        <x:v>Service Area 1 - Complaints Received</x:v>
      </x:c>
      <x:c r="C131" s="10"/>
      <x:c r="D131" s="9" t="str">
        <x:f>IF(C131="","Undated",YEAR(C131))</x:f>
        <x:v>Undated</x:v>
      </x:c>
      <x:c r="E131" s="9" t="str">
        <x:f>IF(C131="","Undated",TEXT(C131,"yyyy-mm"))</x:f>
        <x:v>Undated</x:v>
      </x:c>
      <x:c r="F131" s="9" t="str">
        <x:v>Complaints Received</x:v>
      </x:c>
      <x:c r="G131" s="9" t="str">
        <x:v>Passed Inspection</x:v>
      </x:c>
      <x:c r="H131" s="9" t="str">
        <x:v>Yes</x:v>
      </x:c>
      <x:c r="I131" s="9" t="str">
        <x:v>Reviewer C</x:v>
      </x:c>
      <x:c r="J131" s="12"/>
      <x:c r="K131" s="11" t="n">
        <x:v>44811.8652590162</x:v>
      </x:c>
      <x:c r="L131" s="11" t="n">
        <x:v>44830.98625967593</x:v>
      </x:c>
      <x:c r="M131" s="11" t="n">
        <x:v>44852.927703657406</x:v>
      </x:c>
      <x:c r="N131" s="13" t="str">
        <x:v>Inspection documentation accepted.</x:v>
      </x:c>
    </x:row>
    <x:row r="132">
      <x:c r="A132" s="13" t="str">
        <x:v>FICT-TASK-0128</x:v>
      </x:c>
      <x:c r="B132" s="13" t="str">
        <x:v>Service Area 2 - Complaints Received</x:v>
      </x:c>
      <x:c r="C132" s="10" t="n">
        <x:v>44621</x:v>
      </x:c>
      <x:c r="D132" s="9" t="n">
        <x:f>IF(C132="","Undated",YEAR(C132))</x:f>
        <x:v>2022</x:v>
      </x:c>
      <x:c r="E132" s="9" t="str">
        <x:f>IF(C132="","Undated",TEXT(C132,"yyyy-mm"))</x:f>
        <x:v>2022-03</x:v>
      </x:c>
      <x:c r="F132" s="9" t="str">
        <x:v>Complaints Received</x:v>
      </x:c>
      <x:c r="G132" s="9" t="str">
        <x:v>Compliant Received</x:v>
      </x:c>
      <x:c r="H132" s="9" t="str">
        <x:v>Yes</x:v>
      </x:c>
      <x:c r="I132" s="9" t="str">
        <x:v>Vendor Representative</x:v>
      </x:c>
      <x:c r="J132" s="12"/>
      <x:c r="K132" s="11" t="n">
        <x:v>44622.03796144676</x:v>
      </x:c>
      <x:c r="L132" s="11" t="n">
        <x:v>44655.93374516204</x:v>
      </x:c>
      <x:c r="M132" s="11" t="n">
        <x:v>44852.92121025463</x:v>
      </x:c>
      <x:c r="N132" s="13" t="str">
        <x:v>Required compliance documentation received.</x:v>
      </x:c>
    </x:row>
    <x:row r="133">
      <x:c r="A133" s="13" t="str">
        <x:v>FICT-TASK-0129</x:v>
      </x:c>
      <x:c r="B133" s="13" t="str">
        <x:v>Service Area 3 - Complaints Received</x:v>
      </x:c>
      <x:c r="C133" s="10" t="n">
        <x:v>44603</x:v>
      </x:c>
      <x:c r="D133" s="9" t="n">
        <x:f>IF(C133="","Undated",YEAR(C133))</x:f>
        <x:v>2022</x:v>
      </x:c>
      <x:c r="E133" s="9" t="str">
        <x:f>IF(C133="","Undated",TEXT(C133,"yyyy-mm"))</x:f>
        <x:v>2022-02</x:v>
      </x:c>
      <x:c r="F133" s="9" t="str">
        <x:v>Complaints Received</x:v>
      </x:c>
      <x:c r="G133" s="9" t="str">
        <x:v>Compliant Received</x:v>
      </x:c>
      <x:c r="H133" s="9" t="str">
        <x:v>Yes</x:v>
      </x:c>
      <x:c r="I133" s="9" t="str">
        <x:v>Reviewer A</x:v>
      </x:c>
      <x:c r="J133" s="12"/>
      <x:c r="K133" s="11" t="n">
        <x:v>44588.09502662037</x:v>
      </x:c>
      <x:c r="L133" s="11" t="n">
        <x:v>44601.85315739583</x:v>
      </x:c>
      <x:c r="M133" s="11" t="n">
        <x:v>44674.74620303241</x:v>
      </x:c>
      <x:c r="N133" s="13" t="str">
        <x:v>Required compliance documentation received.</x:v>
      </x:c>
    </x:row>
    <x:row r="134">
      <x:c r="A134" s="13" t="str">
        <x:v>FICT-TASK-0130</x:v>
      </x:c>
      <x:c r="B134" s="13" t="str">
        <x:v>Service Area 4 - Complaints Received</x:v>
      </x:c>
      <x:c r="C134" s="10" t="n">
        <x:v>44622</x:v>
      </x:c>
      <x:c r="D134" s="9" t="n">
        <x:f>IF(C134="","Undated",YEAR(C134))</x:f>
        <x:v>2022</x:v>
      </x:c>
      <x:c r="E134" s="9" t="str">
        <x:f>IF(C134="","Undated",TEXT(C134,"yyyy-mm"))</x:f>
        <x:v>2022-03</x:v>
      </x:c>
      <x:c r="F134" s="9" t="str">
        <x:v>Complaints Received</x:v>
      </x:c>
      <x:c r="G134" s="9" t="str">
        <x:v>Compliant Received</x:v>
      </x:c>
      <x:c r="H134" s="9" t="str">
        <x:v>Yes</x:v>
      </x:c>
      <x:c r="I134" s="9" t="str">
        <x:v>Reviewer B</x:v>
      </x:c>
      <x:c r="J134" s="12"/>
      <x:c r="K134" s="11" t="n">
        <x:v>44622.03805190972</x:v>
      </x:c>
      <x:c r="L134" s="11" t="n">
        <x:v>44655.933792268515</x:v>
      </x:c>
      <x:c r="M134" s="11" t="n">
        <x:v>44674.75132269676</x:v>
      </x:c>
      <x:c r="N134" s="13" t="str">
        <x:v>Required compliance documentation received.</x:v>
      </x:c>
    </x:row>
    <x:row r="135">
      <x:c r="A135" s="13" t="str">
        <x:v>FICT-TASK-0131</x:v>
      </x:c>
      <x:c r="B135" s="13" t="str">
        <x:v>Service Area 5 - Complaints Received</x:v>
      </x:c>
      <x:c r="C135" s="10" t="n">
        <x:v>44634</x:v>
      </x:c>
      <x:c r="D135" s="9" t="n">
        <x:f>IF(C135="","Undated",YEAR(C135))</x:f>
        <x:v>2022</x:v>
      </x:c>
      <x:c r="E135" s="9" t="str">
        <x:f>IF(C135="","Undated",TEXT(C135,"yyyy-mm"))</x:f>
        <x:v>2022-03</x:v>
      </x:c>
      <x:c r="F135" s="9" t="str">
        <x:v>Complaints Received</x:v>
      </x:c>
      <x:c r="G135" s="9" t="str">
        <x:v>Compliant Received</x:v>
      </x:c>
      <x:c r="H135" s="9" t="str">
        <x:v>Yes</x:v>
      </x:c>
      <x:c r="I135" s="9" t="str">
        <x:v>Reviewer C</x:v>
      </x:c>
      <x:c r="J135" s="12"/>
      <x:c r="K135" s="11" t="n">
        <x:v>44622.03798872685</x:v>
      </x:c>
      <x:c r="L135" s="11" t="n">
        <x:v>44655.933768310184</x:v>
      </x:c>
      <x:c r="M135" s="11" t="n">
        <x:v>44664.00650787037</x:v>
      </x:c>
      <x:c r="N135" s="13" t="str">
        <x:v>Required compliance documentation received.</x:v>
      </x:c>
    </x:row>
    <x:row r="136">
      <x:c r="A136" s="13" t="str">
        <x:v>FICT-TASK-0132</x:v>
      </x:c>
      <x:c r="B136" s="13" t="str">
        <x:v>Service Area 6 - Invoice Errors &amp; Misc</x:v>
      </x:c>
      <x:c r="C136" s="10" t="n">
        <x:v>44747</x:v>
      </x:c>
      <x:c r="D136" s="9" t="n">
        <x:f>IF(C136="","Undated",YEAR(C136))</x:f>
        <x:v>2022</x:v>
      </x:c>
      <x:c r="E136" s="9" t="str">
        <x:f>IF(C136="","Undated",TEXT(C136,"yyyy-mm"))</x:f>
        <x:v>2022-07</x:v>
      </x:c>
      <x:c r="F136" s="9" t="str">
        <x:v>Invoice Errors &amp; Misc</x:v>
      </x:c>
      <x:c r="G136" s="9" t="str">
        <x:v>Compliant Received</x:v>
      </x:c>
      <x:c r="H136" s="9" t="str">
        <x:v>Yes</x:v>
      </x:c>
      <x:c r="I136" s="9" t="str">
        <x:v>Vendor Representative</x:v>
      </x:c>
      <x:c r="J136" s="12"/>
      <x:c r="K136" s="11" t="n">
        <x:v>44753.82024577546</x:v>
      </x:c>
      <x:c r="L136" s="11" t="n">
        <x:v>44775.95864153935</x:v>
      </x:c>
      <x:c r="M136" s="11" t="n">
        <x:v>44852.94452784722</x:v>
      </x:c>
      <x:c r="N136" s="13" t="str">
        <x:v>Required compliance documentation received.</x:v>
      </x:c>
    </x:row>
    <x:row r="137">
      <x:c r="A137" s="13" t="str">
        <x:v>FICT-TASK-0133</x:v>
      </x:c>
      <x:c r="B137" s="13" t="str">
        <x:v>Service Area 7 - Invoice Errors &amp; Misc</x:v>
      </x:c>
      <x:c r="C137" s="10"/>
      <x:c r="D137" s="9" t="str">
        <x:f>IF(C137="","Undated",YEAR(C137))</x:f>
        <x:v>Undated</x:v>
      </x:c>
      <x:c r="E137" s="9" t="str">
        <x:f>IF(C137="","Undated",TEXT(C137,"yyyy-mm"))</x:f>
        <x:v>Undated</x:v>
      </x:c>
      <x:c r="F137" s="9" t="str">
        <x:v>Invoice Errors &amp; Misc</x:v>
      </x:c>
      <x:c r="G137" s="9" t="str">
        <x:v>Under Review-Invoice Error</x:v>
      </x:c>
      <x:c r="H137" s="9" t="str">
        <x:v>Yes</x:v>
      </x:c>
      <x:c r="I137" s="9" t="str">
        <x:v>Reviewer A</x:v>
      </x:c>
      <x:c r="J137" s="12"/>
      <x:c r="K137" s="11" t="n">
        <x:v>44840.81567539352</x:v>
      </x:c>
      <x:c r="L137" s="11" t="n">
        <x:v>44851.799728784725</x:v>
      </x:c>
      <x:c r="M137" s="11" t="n">
        <x:v>44852.941488958335</x:v>
      </x:c>
      <x:c r="N137" s="13" t="str">
        <x:v>Routine service-cycle record.</x:v>
      </x:c>
    </x:row>
    <x:row r="138">
      <x:c r="A138" s="13" t="str">
        <x:v>FICT-TASK-0134</x:v>
      </x:c>
      <x:c r="B138" s="13" t="str">
        <x:v>Service Area 1 - Invoice Errors &amp; Misc</x:v>
      </x:c>
      <x:c r="C138" s="10"/>
      <x:c r="D138" s="9" t="str">
        <x:f>IF(C138="","Undated",YEAR(C138))</x:f>
        <x:v>Undated</x:v>
      </x:c>
      <x:c r="E138" s="9" t="str">
        <x:f>IF(C138="","Undated",TEXT(C138,"yyyy-mm"))</x:f>
        <x:v>Undated</x:v>
      </x:c>
      <x:c r="F138" s="9" t="str">
        <x:v>Invoice Errors &amp; Misc</x:v>
      </x:c>
      <x:c r="G138" s="9" t="str">
        <x:v>Under Review-Invoice Error</x:v>
      </x:c>
      <x:c r="H138" s="9" t="str">
        <x:v>Yes</x:v>
      </x:c>
      <x:c r="I138" s="9" t="str">
        <x:v>Reviewer B</x:v>
      </x:c>
      <x:c r="J138" s="12"/>
      <x:c r="K138" s="11" t="n">
        <x:v>44845.81568623843</x:v>
      </x:c>
      <x:c r="L138" s="11" t="n">
        <x:v>44851.799850625</x:v>
      </x:c>
      <x:c r="M138" s="11" t="n">
        <x:v>44852.94134614583</x:v>
      </x:c>
      <x:c r="N138" s="13" t="str">
        <x:v>Routine service-cycle record.</x:v>
      </x:c>
    </x:row>
    <x:row r="139">
      <x:c r="A139" s="13" t="str">
        <x:v>FICT-TASK-0135</x:v>
      </x:c>
      <x:c r="B139" s="13" t="str">
        <x:v>Service Area 2 - Invoice Errors &amp; Misc</x:v>
      </x:c>
      <x:c r="C139" s="10"/>
      <x:c r="D139" s="9" t="str">
        <x:f>IF(C139="","Undated",YEAR(C139))</x:f>
        <x:v>Undated</x:v>
      </x:c>
      <x:c r="E139" s="9" t="str">
        <x:f>IF(C139="","Undated",TEXT(C139,"yyyy-mm"))</x:f>
        <x:v>Undated</x:v>
      </x:c>
      <x:c r="F139" s="9" t="str">
        <x:v>Invoice Errors &amp; Misc</x:v>
      </x:c>
      <x:c r="G139" s="9" t="str">
        <x:v>Under Review-Invoice Error</x:v>
      </x:c>
      <x:c r="H139" s="9" t="str">
        <x:v>Yes</x:v>
      </x:c>
      <x:c r="I139" s="9" t="str">
        <x:v>Reviewer C</x:v>
      </x:c>
      <x:c r="J139" s="12"/>
      <x:c r="K139" s="11" t="n">
        <x:v>44830.74235349537</x:v>
      </x:c>
      <x:c r="L139" s="11" t="n">
        <x:v>44851.79956960648</x:v>
      </x:c>
      <x:c r="M139" s="11" t="n">
        <x:v>44852.93426504629</x:v>
      </x:c>
      <x:c r="N139" s="13" t="str">
        <x:v>Routine service-cycle record.</x:v>
      </x:c>
    </x:row>
    <x:row r="140">
      <x:c r="A140" s="13" t="str">
        <x:v>FICT-TASK-0136</x:v>
      </x:c>
      <x:c r="B140" s="13" t="str">
        <x:v>Service Area 3 - Invoice Errors &amp; Misc</x:v>
      </x:c>
      <x:c r="C140" s="10" t="n">
        <x:v>44634</x:v>
      </x:c>
      <x:c r="D140" s="9" t="n">
        <x:f>IF(C140="","Undated",YEAR(C140))</x:f>
        <x:v>2022</x:v>
      </x:c>
      <x:c r="E140" s="9" t="str">
        <x:f>IF(C140="","Undated",TEXT(C140,"yyyy-mm"))</x:f>
        <x:v>2022-03</x:v>
      </x:c>
      <x:c r="F140" s="9" t="str">
        <x:v>Invoice Errors &amp; Misc</x:v>
      </x:c>
      <x:c r="G140" s="9" t="str">
        <x:v>Passed Inspection</x:v>
      </x:c>
      <x:c r="H140" s="9" t="str">
        <x:v>Yes</x:v>
      </x:c>
      <x:c r="I140" s="9" t="str">
        <x:v>Vendor Representative</x:v>
      </x:c>
      <x:c r="J140" s="12"/>
      <x:c r="K140" s="11" t="n">
        <x:v>44627.93932570602</x:v>
      </x:c>
      <x:c r="L140" s="11" t="n">
        <x:v>44639.767611574076</x:v>
      </x:c>
      <x:c r="M140" s="11" t="n">
        <x:v>44852.93163835648</x:v>
      </x:c>
      <x:c r="N140" s="13" t="str">
        <x:v>Inspection documentation accepted.</x:v>
      </x:c>
    </x:row>
    <x:row r="141">
      <x:c r="A141" s="13" t="str">
        <x:v>FICT-TASK-0137</x:v>
      </x:c>
      <x:c r="B141" s="13" t="str">
        <x:v>Service Area 4 - Invoice Errors &amp; Misc</x:v>
      </x:c>
      <x:c r="C141" s="10"/>
      <x:c r="D141" s="9" t="str">
        <x:f>IF(C141="","Undated",YEAR(C141))</x:f>
        <x:v>Undated</x:v>
      </x:c>
      <x:c r="E141" s="9" t="str">
        <x:f>IF(C141="","Undated",TEXT(C141,"yyyy-mm"))</x:f>
        <x:v>Undated</x:v>
      </x:c>
      <x:c r="F141" s="9" t="str">
        <x:v>Invoice Errors &amp; Misc</x:v>
      </x:c>
      <x:c r="G141" s="9" t="str">
        <x:v>Under Review-Invoice Error</x:v>
      </x:c>
      <x:c r="H141" s="9" t="str">
        <x:v>Yes</x:v>
      </x:c>
      <x:c r="I141" s="9" t="str">
        <x:v>Reviewer A</x:v>
      </x:c>
      <x:c r="J141" s="12"/>
      <x:c r="K141" s="11" t="n">
        <x:v>44845.81416637731</x:v>
      </x:c>
      <x:c r="L141" s="11" t="n">
        <x:v>44851.799307141206</x:v>
      </x:c>
      <x:c r="M141" s="11" t="n">
        <x:v>44852.92705677083</x:v>
      </x:c>
      <x:c r="N141" s="13" t="str">
        <x:v>Routine service-cycle record.</x:v>
      </x:c>
    </x:row>
    <x:row r="142">
      <x:c r="A142" s="13" t="str">
        <x:v>FICT-TASK-0138</x:v>
      </x:c>
      <x:c r="B142" s="13" t="str">
        <x:v>Service Area 5 - Invoice Errors &amp; Misc</x:v>
      </x:c>
      <x:c r="C142" s="10"/>
      <x:c r="D142" s="9" t="str">
        <x:f>IF(C142="","Undated",YEAR(C142))</x:f>
        <x:v>Undated</x:v>
      </x:c>
      <x:c r="E142" s="9" t="str">
        <x:f>IF(C142="","Undated",TEXT(C142,"yyyy-mm"))</x:f>
        <x:v>Undated</x:v>
      </x:c>
      <x:c r="F142" s="9" t="str">
        <x:v>Invoice Errors &amp; Misc</x:v>
      </x:c>
      <x:c r="G142" s="9" t="str">
        <x:v>Under Review-Invoice Error</x:v>
      </x:c>
      <x:c r="H142" s="9" t="str">
        <x:v>Yes</x:v>
      </x:c>
      <x:c r="I142" s="9" t="str">
        <x:v>Reviewer B</x:v>
      </x:c>
      <x:c r="J142" s="12"/>
      <x:c r="K142" s="11" t="n">
        <x:v>44848.8504118287</x:v>
      </x:c>
      <x:c r="L142" s="11" t="n">
        <x:v>44851.79940403935</x:v>
      </x:c>
      <x:c r="M142" s="11" t="n">
        <x:v>44852.926892627314</x:v>
      </x:c>
      <x:c r="N142" s="13" t="str">
        <x:v>Routine service-cycle record.</x:v>
      </x:c>
    </x:row>
    <x:row r="143">
      <x:c r="A143" s="13" t="str">
        <x:v>FICT-TASK-0139</x:v>
      </x:c>
      <x:c r="B143" s="13" t="str">
        <x:v>Service Area 6 - Invoice Errors &amp; Misc</x:v>
      </x:c>
      <x:c r="C143" s="10"/>
      <x:c r="D143" s="9" t="str">
        <x:f>IF(C143="","Undated",YEAR(C143))</x:f>
        <x:v>Undated</x:v>
      </x:c>
      <x:c r="E143" s="9" t="str">
        <x:f>IF(C143="","Undated",TEXT(C143,"yyyy-mm"))</x:f>
        <x:v>Undated</x:v>
      </x:c>
      <x:c r="F143" s="9" t="str">
        <x:v>Invoice Errors &amp; Misc</x:v>
      </x:c>
      <x:c r="G143" s="9" t="str">
        <x:v>Under Review-Invoice Error</x:v>
      </x:c>
      <x:c r="H143" s="9" t="str">
        <x:v>Yes</x:v>
      </x:c>
      <x:c r="I143" s="9" t="str">
        <x:v>Reviewer C</x:v>
      </x:c>
      <x:c r="J143" s="12"/>
      <x:c r="K143" s="11" t="n">
        <x:v>44840.8151031713</x:v>
      </x:c>
      <x:c r="L143" s="11" t="n">
        <x:v>44851.798985208334</x:v>
      </x:c>
      <x:c r="M143" s="11" t="n">
        <x:v>44852.92259800926</x:v>
      </x:c>
      <x:c r="N143" s="13" t="str">
        <x:v>Routine service-cycle record.</x:v>
      </x:c>
    </x:row>
    <x:row r="144">
      <x:c r="A144" s="13" t="str">
        <x:v>FICT-TASK-0140</x:v>
      </x:c>
      <x:c r="B144" s="13" t="str">
        <x:v>Service Area 7 - Invoice Errors &amp; Misc</x:v>
      </x:c>
      <x:c r="C144" s="10"/>
      <x:c r="D144" s="9" t="str">
        <x:f>IF(C144="","Undated",YEAR(C144))</x:f>
        <x:v>Undated</x:v>
      </x:c>
      <x:c r="E144" s="9" t="str">
        <x:f>IF(C144="","Undated",TEXT(C144,"yyyy-mm"))</x:f>
        <x:v>Undated</x:v>
      </x:c>
      <x:c r="F144" s="9" t="str">
        <x:v>Invoice Errors &amp; Misc</x:v>
      </x:c>
      <x:c r="G144" s="9" t="str">
        <x:v>Under Review-Invoice Error</x:v>
      </x:c>
      <x:c r="H144" s="9" t="str">
        <x:v>Yes</x:v>
      </x:c>
      <x:c r="I144" s="9" t="str">
        <x:v>Vendor Representative</x:v>
      </x:c>
      <x:c r="J144" s="12"/>
      <x:c r="K144" s="11" t="n">
        <x:v>44845.81330863426</x:v>
      </x:c>
      <x:c r="L144" s="11" t="n">
        <x:v>44851.799139236115</x:v>
      </x:c>
      <x:c r="M144" s="11" t="n">
        <x:v>44852.92245899305</x:v>
      </x:c>
      <x:c r="N144" s="13" t="str">
        <x:v>Routine service-cycle record.</x:v>
      </x:c>
    </x:row>
    <x:row r="145">
      <x:c r="A145" s="13" t="str">
        <x:v>FICT-TASK-0141</x:v>
      </x:c>
      <x:c r="B145" s="13" t="str">
        <x:v>Service Area 1 - Invoice Errors &amp; Misc</x:v>
      </x:c>
      <x:c r="C145" s="10" t="n">
        <x:v>44691</x:v>
      </x:c>
      <x:c r="D145" s="9" t="n">
        <x:f>IF(C145="","Undated",YEAR(C145))</x:f>
        <x:v>2022</x:v>
      </x:c>
      <x:c r="E145" s="9" t="str">
        <x:f>IF(C145="","Undated",TEXT(C145,"yyyy-mm"))</x:f>
        <x:v>2022-05</x:v>
      </x:c>
      <x:c r="F145" s="9" t="str">
        <x:v>Invoice Errors &amp; Misc</x:v>
      </x:c>
      <x:c r="G145" s="9" t="str">
        <x:v>Under Review</x:v>
      </x:c>
      <x:c r="H145" s="9" t="str">
        <x:v>Yes</x:v>
      </x:c>
      <x:c r="I145" s="9" t="str">
        <x:v>Reviewer A</x:v>
      </x:c>
      <x:c r="J145" s="12"/>
      <x:c r="K145" s="11" t="n">
        <x:v>44683.68842539352</x:v>
      </x:c>
      <x:c r="L145" s="11" t="n">
        <x:v>44700.05528702546</x:v>
      </x:c>
      <x:c r="M145" s="11" t="n">
        <x:v>44852.92181983796</x:v>
      </x:c>
      <x:c r="N145" s="13" t="str">
        <x:v>Routine service-cycle record.</x:v>
      </x:c>
    </x:row>
    <x:row r="146">
      <x:c r="A146" s="13" t="str">
        <x:v>FICT-TASK-0142</x:v>
      </x:c>
      <x:c r="B146" s="13" t="str">
        <x:v>Service Area 2 - Invoice Errors &amp; Misc</x:v>
      </x:c>
      <x:c r="C146" s="10"/>
      <x:c r="D146" s="9" t="str">
        <x:f>IF(C146="","Undated",YEAR(C146))</x:f>
        <x:v>Undated</x:v>
      </x:c>
      <x:c r="E146" s="9" t="str">
        <x:f>IF(C146="","Undated",TEXT(C146,"yyyy-mm"))</x:f>
        <x:v>Undated</x:v>
      </x:c>
      <x:c r="F146" s="9" t="str">
        <x:v>Invoice Errors &amp; Misc</x:v>
      </x:c>
      <x:c r="G146" s="9" t="str">
        <x:v>Under Review-Invoice Error</x:v>
      </x:c>
      <x:c r="H146" s="9" t="str">
        <x:v>Yes</x:v>
      </x:c>
      <x:c r="I146" s="9" t="str">
        <x:v>Reviewer B</x:v>
      </x:c>
      <x:c r="J146" s="12"/>
      <x:c r="K146" s="11" t="n">
        <x:v>44840.81436428241</x:v>
      </x:c>
      <x:c r="L146" s="11" t="n">
        <x:v>44851.798530671294</x:v>
      </x:c>
      <x:c r="M146" s="11" t="n">
        <x:v>44852.91992980324</x:v>
      </x:c>
      <x:c r="N146" s="13" t="str">
        <x:v>Routine service-cycle record.</x:v>
      </x:c>
    </x:row>
    <x:row r="147">
      <x:c r="A147" s="13" t="str">
        <x:v>FICT-TASK-0143</x:v>
      </x:c>
      <x:c r="B147" s="13" t="str">
        <x:v>Service Area 3 - Invoice Errors &amp; Misc</x:v>
      </x:c>
      <x:c r="C147" s="10"/>
      <x:c r="D147" s="9" t="str">
        <x:f>IF(C147="","Undated",YEAR(C147))</x:f>
        <x:v>Undated</x:v>
      </x:c>
      <x:c r="E147" s="9" t="str">
        <x:f>IF(C147="","Undated",TEXT(C147,"yyyy-mm"))</x:f>
        <x:v>Undated</x:v>
      </x:c>
      <x:c r="F147" s="9" t="str">
        <x:v>Invoice Errors &amp; Misc</x:v>
      </x:c>
      <x:c r="G147" s="9" t="str">
        <x:v>Under Review-Invoice Error</x:v>
      </x:c>
      <x:c r="H147" s="9" t="str">
        <x:v>Yes</x:v>
      </x:c>
      <x:c r="I147" s="9" t="str">
        <x:v>Reviewer C</x:v>
      </x:c>
      <x:c r="J147" s="12"/>
      <x:c r="K147" s="11" t="n">
        <x:v>44845.81500635417</x:v>
      </x:c>
      <x:c r="L147" s="11" t="n">
        <x:v>44851.79878356482</x:v>
      </x:c>
      <x:c r="M147" s="11" t="n">
        <x:v>44852.919787314815</x:v>
      </x:c>
      <x:c r="N147" s="13" t="str">
        <x:v>Routine service-cycle record.</x:v>
      </x:c>
    </x:row>
    <x:row r="148">
      <x:c r="A148" s="13" t="str">
        <x:v>FICT-TASK-0144</x:v>
      </x:c>
      <x:c r="B148" s="13" t="str">
        <x:v>Service Area 4 - Invoice Errors &amp; Misc</x:v>
      </x:c>
      <x:c r="C148" s="10"/>
      <x:c r="D148" s="9" t="str">
        <x:f>IF(C148="","Undated",YEAR(C148))</x:f>
        <x:v>Undated</x:v>
      </x:c>
      <x:c r="E148" s="9" t="str">
        <x:f>IF(C148="","Undated",TEXT(C148,"yyyy-mm"))</x:f>
        <x:v>Undated</x:v>
      </x:c>
      <x:c r="F148" s="9" t="str">
        <x:v>Invoice Errors &amp; Misc</x:v>
      </x:c>
      <x:c r="G148" s="9" t="str">
        <x:v>Under Review-Invoice Error</x:v>
      </x:c>
      <x:c r="H148" s="9" t="str">
        <x:v>Yes</x:v>
      </x:c>
      <x:c r="I148" s="9" t="str">
        <x:v>Vendor Representative</x:v>
      </x:c>
      <x:c r="J148" s="12"/>
      <x:c r="K148" s="11" t="n">
        <x:v>44848.85172744213</x:v>
      </x:c>
      <x:c r="L148" s="11" t="n">
        <x:v>44851.80027331018</x:v>
      </x:c>
      <x:c r="M148" s="11" t="n">
        <x:v>44852.919625</x:v>
      </x:c>
      <x:c r="N148" s="13" t="str">
        <x:v>Routine service-cycle record.</x:v>
      </x:c>
    </x:row>
    <x:row r="149">
      <x:c r="A149" s="13" t="str">
        <x:v>FICT-TASK-0145</x:v>
      </x:c>
      <x:c r="B149" s="13" t="str">
        <x:v>Service Area 5 - Invoice Errors &amp; Misc</x:v>
      </x:c>
      <x:c r="C149" s="10"/>
      <x:c r="D149" s="9" t="str">
        <x:f>IF(C149="","Undated",YEAR(C149))</x:f>
        <x:v>Undated</x:v>
      </x:c>
      <x:c r="E149" s="9" t="str">
        <x:f>IF(C149="","Undated",TEXT(C149,"yyyy-mm"))</x:f>
        <x:v>Undated</x:v>
      </x:c>
      <x:c r="F149" s="9" t="str">
        <x:v>Invoice Errors &amp; Misc</x:v>
      </x:c>
      <x:c r="G149" s="9" t="str">
        <x:v>Under Review-Invoice Error</x:v>
      </x:c>
      <x:c r="H149" s="9" t="str">
        <x:v>Yes</x:v>
      </x:c>
      <x:c r="I149" s="9" t="str">
        <x:v>Reviewer A</x:v>
      </x:c>
      <x:c r="J149" s="12"/>
      <x:c r="K149" s="11" t="n">
        <x:v>44848.85295741898</x:v>
      </x:c>
      <x:c r="L149" s="11" t="n">
        <x:v>44851.800291168984</x:v>
      </x:c>
      <x:c r="M149" s="11" t="n">
        <x:v>44852.91947371528</x:v>
      </x:c>
      <x:c r="N149" s="13" t="str">
        <x:v>Routine service-cycle record.</x:v>
      </x:c>
    </x:row>
    <x:row r="150">
      <x:c r="A150" s="13" t="str">
        <x:v>FICT-TASK-0146</x:v>
      </x:c>
      <x:c r="B150" s="13" t="str">
        <x:v>Service Area 6 - Invoice Errors &amp; Misc</x:v>
      </x:c>
      <x:c r="C150" s="10"/>
      <x:c r="D150" s="9" t="str">
        <x:f>IF(C150="","Undated",YEAR(C150))</x:f>
        <x:v>Undated</x:v>
      </x:c>
      <x:c r="E150" s="9" t="str">
        <x:f>IF(C150="","Undated",TEXT(C150,"yyyy-mm"))</x:f>
        <x:v>Undated</x:v>
      </x:c>
      <x:c r="F150" s="9" t="str">
        <x:v>Invoice Errors &amp; Misc</x:v>
      </x:c>
      <x:c r="G150" s="9" t="str">
        <x:v>Under Review-Invoice Error</x:v>
      </x:c>
      <x:c r="H150" s="9" t="str">
        <x:v>Yes</x:v>
      </x:c>
      <x:c r="I150" s="9" t="str">
        <x:v>Reviewer B</x:v>
      </x:c>
      <x:c r="J150" s="12"/>
      <x:c r="K150" s="11" t="n">
        <x:v>44848.85498618056</x:v>
      </x:c>
      <x:c r="L150" s="11" t="n">
        <x:v>44851.80030952546</x:v>
      </x:c>
      <x:c r="M150" s="11" t="n">
        <x:v>44852.91933696759</x:v>
      </x:c>
      <x:c r="N150" s="13" t="str">
        <x:v>Routine service-cycle record.</x:v>
      </x:c>
    </x:row>
    <x:row r="151">
      <x:c r="A151" s="13" t="str">
        <x:v>FICT-TASK-0147</x:v>
      </x:c>
      <x:c r="B151" s="13" t="str">
        <x:v>Service Area 7 - Invoice Errors &amp; Misc</x:v>
      </x:c>
      <x:c r="C151" s="10"/>
      <x:c r="D151" s="9" t="str">
        <x:f>IF(C151="","Undated",YEAR(C151))</x:f>
        <x:v>Undated</x:v>
      </x:c>
      <x:c r="E151" s="9" t="str">
        <x:f>IF(C151="","Undated",TEXT(C151,"yyyy-mm"))</x:f>
        <x:v>Undated</x:v>
      </x:c>
      <x:c r="F151" s="9" t="str">
        <x:v>Invoice Errors &amp; Misc</x:v>
      </x:c>
      <x:c r="G151" s="9" t="str">
        <x:v>Under Review-Invoice Error</x:v>
      </x:c>
      <x:c r="H151" s="9" t="str">
        <x:v>Yes</x:v>
      </x:c>
      <x:c r="I151" s="9" t="str">
        <x:v>Reviewer C</x:v>
      </x:c>
      <x:c r="J151" s="12"/>
      <x:c r="K151" s="11" t="n">
        <x:v>44848.864601863424</x:v>
      </x:c>
      <x:c r="L151" s="11" t="n">
        <x:v>44851.80032283565</x:v>
      </x:c>
      <x:c r="M151" s="11" t="n">
        <x:v>44852.918772523146</x:v>
      </x:c>
      <x:c r="N151" s="13" t="str">
        <x:v>Routine service-cycle record.</x:v>
      </x:c>
    </x:row>
  </x:sheetData>
  <x:mergeCells>
    <x:mergeCell ref="A1:N1"/>
    <x:mergeCell ref="A2:N2"/>
  </x:mergeCells>
  <x:pageMargins left="0.7" right="0.7" top="0.75" bottom="0.75" header="0.3" footer="0.3"/>
</x:worksheet>
</file>